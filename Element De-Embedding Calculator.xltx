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workbookPr defaultThemeVersion="166925"/>
  <mc:AlternateContent xmlns:mc="http://schemas.openxmlformats.org/markup-compatibility/2006">
    <mc:Choice Requires="x15">
      <x15ac:absPath xmlns:x15ac="http://schemas.microsoft.com/office/spreadsheetml/2010/11/ac" url="/Users/va2rak/Desktop/DWM/V2/Calibration/"/>
    </mc:Choice>
  </mc:AlternateContent>
  <xr:revisionPtr revIDLastSave="0" documentId="13_ncr:1_{81AC94FD-CB70-3946-B8DE-2FEEF2ED0C5F}" xr6:coauthVersionLast="47" xr6:coauthVersionMax="47" xr10:uidLastSave="{00000000-0000-0000-0000-000000000000}"/>
  <bookViews>
    <workbookView xWindow="0" yWindow="500" windowWidth="38400" windowHeight="21100" xr2:uid="{0B59A962-2640-5844-B6C8-9E0E3E5795D1}"/>
  </bookViews>
  <sheets>
    <sheet name="Calculator" sheetId="7" r:id="rId1"/>
    <sheet name="De-Embedding Logs" sheetId="10" r:id="rId2"/>
    <sheet name="Sample Data Sets" sheetId="14" r:id="rId3"/>
    <sheet name="Crazy De-Embedding Logs" sheetId="13"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9" i="10" l="1"/>
  <c r="N9" i="10"/>
  <c r="M9" i="10"/>
  <c r="M21" i="7"/>
  <c r="O20" i="7"/>
  <c r="N20" i="7"/>
  <c r="M20" i="7"/>
  <c r="O21" i="7"/>
  <c r="Y18" i="7" a="1"/>
  <c r="Y18" i="7" s="1"/>
  <c r="I38" i="7" l="1"/>
  <c r="G38" i="7"/>
  <c r="J38" i="7" s="1"/>
  <c r="D38" i="7"/>
  <c r="I37" i="7"/>
  <c r="G37" i="7"/>
  <c r="J37" i="7" s="1"/>
  <c r="D37" i="7"/>
  <c r="I36" i="7"/>
  <c r="G36" i="7"/>
  <c r="J36" i="7" s="1"/>
  <c r="D36" i="7"/>
  <c r="I35" i="7"/>
  <c r="G35" i="7"/>
  <c r="J35" i="7" s="1"/>
  <c r="D35" i="7"/>
  <c r="G34" i="7"/>
  <c r="J34" i="7" s="1"/>
  <c r="D34" i="7"/>
  <c r="I33" i="7"/>
  <c r="I34" i="7" s="1"/>
  <c r="G33" i="7"/>
  <c r="J33" i="7" s="1"/>
  <c r="D33" i="7"/>
  <c r="I32" i="7"/>
  <c r="G32" i="7"/>
  <c r="J32" i="7" s="1"/>
  <c r="D32" i="7"/>
  <c r="I31" i="7"/>
  <c r="G31" i="7"/>
  <c r="J31" i="7" s="1"/>
  <c r="D31" i="7"/>
  <c r="I30" i="7"/>
  <c r="G30" i="7"/>
  <c r="J30" i="7" s="1"/>
  <c r="D30" i="7"/>
  <c r="I29" i="7"/>
  <c r="G29" i="7"/>
  <c r="J29" i="7" s="1"/>
  <c r="D29" i="7"/>
  <c r="I28" i="7"/>
  <c r="G28" i="7"/>
  <c r="J28" i="7" s="1"/>
  <c r="D28" i="7"/>
  <c r="N21" i="7"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<sst xmlns="http://schemas.openxmlformats.org/spreadsheetml/2006/main" count="69" uniqueCount="43">
  <si>
    <t>mV</t>
  </si>
  <si>
    <t>%FS</t>
  </si>
  <si>
    <t>W</t>
  </si>
  <si>
    <t>End Result</t>
  </si>
  <si>
    <t>Referencing Data</t>
  </si>
  <si>
    <t>Intermidiate Calculation</t>
  </si>
  <si>
    <t>Graph Trendline:</t>
  </si>
  <si>
    <t>Recommended Compensation:</t>
  </si>
  <si>
    <t>Element:</t>
  </si>
  <si>
    <t>Power (W)</t>
  </si>
  <si>
    <t>FOR ALGORITHM</t>
  </si>
  <si>
    <t>Recommended:</t>
  </si>
  <si>
    <t>USER MEASUREMENTS</t>
  </si>
  <si>
    <t>User Input</t>
  </si>
  <si>
    <t>Power</t>
  </si>
  <si>
    <t>Frequency Range</t>
  </si>
  <si>
    <t>Model #</t>
  </si>
  <si>
    <t>Log Number</t>
  </si>
  <si>
    <t>Name</t>
  </si>
  <si>
    <t>Linear (V^1)</t>
  </si>
  <si>
    <t>Exponent (V^2)</t>
  </si>
  <si>
    <t>Date (yyyy-mm-dd)</t>
  </si>
  <si>
    <t>R² Value</t>
  </si>
  <si>
    <t>5W</t>
  </si>
  <si>
    <t>100-250</t>
  </si>
  <si>
    <t>5C</t>
  </si>
  <si>
    <t>AVERAGE</t>
  </si>
  <si>
    <t>5c</t>
  </si>
  <si>
    <t>7mhz signal</t>
  </si>
  <si>
    <t>By: SteamingCoax</t>
  </si>
  <si>
    <t>100uA STD</t>
  </si>
  <si>
    <t>COEF 1</t>
  </si>
  <si>
    <t>COEF 2</t>
  </si>
  <si>
    <t>COEF 3</t>
  </si>
  <si>
    <t>DO NOT TOUCH</t>
  </si>
  <si>
    <t>Log #</t>
  </si>
  <si>
    <t>Sample Data Sets</t>
  </si>
  <si>
    <t>Element De-Embedding Calculator</t>
  </si>
  <si>
    <t>De-Embedding Logs</t>
  </si>
  <si>
    <t>Crazy De-Embedding Logs</t>
  </si>
  <si>
    <t>Example</t>
  </si>
  <si>
    <t>Calculator</t>
  </si>
  <si>
    <t>Do not touch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</si>
</sst>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
    <numFmt numFmtId="166" formatCode="0\W"/>
    <numFmt numFmtId="167" formatCode="0.000000000"/>
    <numFmt numFmtId="168" formatCode="0.0%"/>
  </numFmts>
  <fonts count="9" x14ac:knownFonts="1">
    <font>
      <sz val="12"/>
      <color theme="1"/>
      <name val="Calibri"/>
      <family val="2"/>
      <scheme val="minor"/>
    </font>
    <font>
      <b/>
      <sz val="12"/>
      <color rgb="FF3F3F3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
      <b/>
      <sz val="14"/>
      <color theme="1"/>
      <name val="Calibri"/>
      <family val="2"/>
      <scheme val="minor"/>
    </font>
    <font>
      <b/>
      <sz val="12"/>
      <color rgb="FF000000"/>
      <name val="Calibri"/>
      <family val="2"/>
      <scheme val="minor"/>
    </font>
    <font>
      <b/>
      <sz val="28"/>
      <color theme="1"/>
      <name val="Calibri (Body)"/>
    </font>
    <font>
      <sz val="28"/>
      <color theme="1"/>
      <name val="Calibri"/>
      <family val="2"/>
      <scheme val="minor"/>
    </font>
  </fonts>
  <fills count="9">
    <fill>
      <patternFill patternType="none"/>
    </fill>
    <fill>
      <patternFill patternType="gray125"/>
    </fill>
    <fill>
      <patternFill patternType="solid">
        <fgColor rgb="FFF2F2F2"/>
      </patternFill>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rgb="FF00BFFF"/>
        <bgColor indexed="64"/>
      </patternFill>
    </fill>
    <fill>
      <patternFill patternType="solid">
        <fgColor rgb="FF00B0F0"/>
        <bgColor indexed="64"/>
      </patternFill>
    </fill>
    <fill>
      <patternFill patternType="solid">
        <fgColor rgb="FFFFFF00"/>
        <bgColor rgb="FF000000"/>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top/>
      <bottom/>
      <diagonal/>
    </border>
  </borders>
  <cellStyleXfs count="2">
    <xf numFmtId="0" fontId="0" fillId="0" borderId="0"/>
    <xf numFmtId="0" fontId="1" fillId="2" borderId="8" applyNumberFormat="0" applyAlignment="0" applyProtection="0"/>
  </cellStyleXfs>
  <cellXfs count="98">
    <xf numFmtId="0" fontId="0" fillId="0" borderId="0" xfId="0"/>
    <xf numFmtId="0" fontId="0" fillId="0" borderId="0" xfId="0" applyAlignment="1">
      <alignment horizontal="center"/>
    </xf>
    <xf numFmtId="0" fontId="3" fillId="0" borderId="0" xfId="0" applyFont="1"/>
    <xf numFmtId="0" fontId="2" fillId="0" borderId="7" xfId="0" applyFont="1" applyBorder="1" applyAlignment="1">
      <alignment horizontal="center"/>
    </xf>
    <xf numFmtId="0" fontId="0" fillId="6" borderId="15" xfId="0" applyFill="1" applyBorder="1"/>
    <xf numFmtId="0" fontId="0" fillId="5" borderId="15" xfId="0" applyFill="1" applyBorder="1"/>
    <xf numFmtId="0" fontId="0" fillId="3" borderId="14" xfId="0" applyFill="1" applyBorder="1"/>
    <xf numFmtId="0" fontId="0" fillId="4" borderId="16" xfId="0" applyFill="1" applyBorder="1"/>
    <xf numFmtId="166" fontId="2" fillId="3" borderId="13" xfId="0" applyNumberFormat="1" applyFont="1" applyFill="1" applyBorder="1" applyAlignment="1">
      <alignment horizontal="center"/>
    </xf>
    <xf numFmtId="164" fontId="0" fillId="6" borderId="5" xfId="0" applyNumberFormat="1" applyFill="1" applyBorder="1"/>
    <xf numFmtId="168" fontId="0" fillId="0" borderId="0" xfId="0" applyNumberFormat="1"/>
    <xf numFmtId="2" fontId="0" fillId="5" borderId="4" xfId="0" applyNumberFormat="1" applyFill="1" applyBorder="1"/>
    <xf numFmtId="164" fontId="0" fillId="6" borderId="1" xfId="0" applyNumberFormat="1" applyFill="1" applyBorder="1"/>
    <xf numFmtId="168" fontId="0" fillId="6" borderId="2" xfId="0" applyNumberFormat="1" applyFill="1" applyBorder="1"/>
    <xf numFmtId="164" fontId="0" fillId="6" borderId="3" xfId="0" applyNumberFormat="1" applyFill="1" applyBorder="1"/>
    <xf numFmtId="168" fontId="0" fillId="6" borderId="4" xfId="0" applyNumberFormat="1" applyFill="1" applyBorder="1"/>
    <xf numFmtId="168" fontId="0" fillId="5" borderId="1" xfId="0" applyNumberFormat="1" applyFill="1" applyBorder="1"/>
    <xf numFmtId="2" fontId="0" fillId="5" borderId="2" xfId="0" applyNumberFormat="1" applyFill="1" applyBorder="1"/>
    <xf numFmtId="168" fontId="0" fillId="7" borderId="2" xfId="0" applyNumberFormat="1" applyFill="1" applyBorder="1"/>
    <xf numFmtId="2" fontId="0" fillId="5" borderId="6" xfId="0" applyNumberFormat="1" applyFill="1" applyBorder="1"/>
    <xf numFmtId="0" fontId="2" fillId="0" borderId="25" xfId="0" applyFont="1" applyBorder="1" applyAlignment="1">
      <alignment horizontal="center"/>
    </xf>
    <xf numFmtId="168" fontId="0" fillId="7" borderId="4" xfId="0" applyNumberFormat="1" applyFill="1" applyBorder="1"/>
    <xf numFmtId="168" fontId="0" fillId="7" borderId="6" xfId="0" applyNumberFormat="1" applyFill="1" applyBorder="1"/>
    <xf numFmtId="0" fontId="2" fillId="0" borderId="24" xfId="0" applyFont="1" applyBorder="1" applyAlignment="1">
      <alignment horizontal="center"/>
    </xf>
    <xf numFmtId="0" fontId="6" fillId="0" borderId="24" xfId="0" applyFont="1" applyBorder="1" applyAlignment="1">
      <alignment horizontal="center"/>
    </xf>
    <xf numFmtId="0" fontId="2" fillId="0" borderId="26" xfId="0" applyFont="1" applyBorder="1" applyAlignment="1">
      <alignment horizontal="center"/>
    </xf>
    <xf numFmtId="2" fontId="0" fillId="5" borderId="28" xfId="0" applyNumberFormat="1" applyFill="1" applyBorder="1"/>
    <xf numFmtId="168" fontId="0" fillId="7" borderId="28" xfId="0" applyNumberFormat="1" applyFill="1" applyBorder="1"/>
    <xf numFmtId="168" fontId="0" fillId="6" borderId="6" xfId="0" applyNumberFormat="1" applyFill="1" applyBorder="1"/>
    <xf numFmtId="2" fontId="0" fillId="3" borderId="29" xfId="0" applyNumberFormat="1" applyFill="1" applyBorder="1"/>
    <xf numFmtId="2" fontId="0" fillId="3" borderId="31" xfId="0" applyNumberFormat="1" applyFill="1" applyBorder="1"/>
    <xf numFmtId="2" fontId="0" fillId="3" borderId="32" xfId="0" applyNumberFormat="1" applyFill="1" applyBorder="1"/>
    <xf numFmtId="2" fontId="0" fillId="3" borderId="33" xfId="0" applyNumberFormat="1" applyFill="1" applyBorder="1"/>
    <xf numFmtId="2" fontId="0" fillId="3" borderId="15" xfId="0" applyNumberFormat="1" applyFill="1" applyBorder="1"/>
    <xf numFmtId="2" fontId="0" fillId="3" borderId="34" xfId="0" applyNumberFormat="1" applyFill="1" applyBorder="1"/>
    <xf numFmtId="2" fontId="0" fillId="3" borderId="16" xfId="0" applyNumberFormat="1" applyFill="1" applyBorder="1"/>
    <xf numFmtId="168" fontId="0" fillId="3" borderId="3" xfId="0" applyNumberFormat="1" applyFill="1" applyBorder="1"/>
    <xf numFmtId="168" fontId="0" fillId="3" borderId="27" xfId="0" applyNumberFormat="1" applyFill="1" applyBorder="1"/>
    <xf numFmtId="168" fontId="0" fillId="3" borderId="5" xfId="0" applyNumberFormat="1" applyFill="1" applyBorder="1"/>
    <xf numFmtId="2" fontId="0" fillId="5" borderId="14" xfId="0" applyNumberFormat="1" applyFill="1" applyBorder="1"/>
    <xf numFmtId="2" fontId="0" fillId="5" borderId="30" xfId="0" applyNumberFormat="1" applyFill="1" applyBorder="1"/>
    <xf numFmtId="0" fontId="0" fillId="0" borderId="9" xfId="0" applyBorder="1"/>
    <xf numFmtId="0" fontId="0" fillId="0" borderId="35" xfId="0" applyBorder="1"/>
    <xf numFmtId="0" fontId="0" fillId="0" borderId="36" xfId="0" applyBorder="1"/>
    <xf numFmtId="0" fontId="0" fillId="0" borderId="37" xfId="0" applyBorder="1"/>
    <xf numFmtId="14" fontId="0" fillId="0" borderId="35" xfId="0" applyNumberFormat="1" applyBorder="1"/>
    <xf numFmtId="0" fontId="5" fillId="0" borderId="38"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0" fillId="0" borderId="41" xfId="0" applyBorder="1"/>
    <xf numFmtId="0" fontId="0" fillId="0" borderId="42" xfId="0" applyBorder="1"/>
    <xf numFmtId="0" fontId="0" fillId="0" borderId="43" xfId="0" applyBorder="1"/>
    <xf numFmtId="14" fontId="0" fillId="0" borderId="43" xfId="0" applyNumberFormat="1" applyBorder="1"/>
    <xf numFmtId="0" fontId="5" fillId="0" borderId="0" xfId="0" applyFont="1" applyAlignment="1">
      <alignment horizontal="center"/>
    </xf>
    <xf numFmtId="0" fontId="2" fillId="0" borderId="14" xfId="0" applyFont="1" applyBorder="1"/>
    <xf numFmtId="0" fontId="2" fillId="0" borderId="16" xfId="0" applyFont="1" applyBorder="1"/>
    <xf numFmtId="165" fontId="0" fillId="6" borderId="11" xfId="0" applyNumberFormat="1" applyFill="1" applyBorder="1" applyAlignment="1">
      <alignment horizontal="center"/>
    </xf>
    <xf numFmtId="2" fontId="1" fillId="4" borderId="6" xfId="1" applyNumberFormat="1" applyFill="1" applyBorder="1" applyAlignment="1">
      <alignment horizontal="center"/>
    </xf>
    <xf numFmtId="0" fontId="2" fillId="0" borderId="45" xfId="0" applyFont="1" applyBorder="1" applyAlignment="1">
      <alignment horizontal="center"/>
    </xf>
    <xf numFmtId="165" fontId="0" fillId="6" borderId="22" xfId="0" applyNumberFormat="1" applyFill="1" applyBorder="1" applyAlignment="1">
      <alignment horizontal="center"/>
    </xf>
    <xf numFmtId="2" fontId="1" fillId="4" borderId="23" xfId="1" applyNumberFormat="1" applyFill="1" applyBorder="1" applyAlignment="1">
      <alignment horizontal="center"/>
    </xf>
    <xf numFmtId="167" fontId="0" fillId="6" borderId="14" xfId="0" applyNumberFormat="1" applyFill="1" applyBorder="1" applyAlignment="1">
      <alignment horizontal="center"/>
    </xf>
    <xf numFmtId="2" fontId="1" fillId="4" borderId="16" xfId="1" applyNumberFormat="1" applyFill="1" applyBorder="1" applyAlignment="1">
      <alignment horizontal="center"/>
    </xf>
    <xf numFmtId="2" fontId="4" fillId="8" borderId="22" xfId="0" applyNumberFormat="1" applyFont="1" applyFill="1" applyBorder="1"/>
    <xf numFmtId="164" fontId="4" fillId="8" borderId="44" xfId="0" applyNumberFormat="1" applyFont="1" applyFill="1" applyBorder="1"/>
    <xf numFmtId="2" fontId="4" fillId="8" borderId="10" xfId="0" applyNumberFormat="1" applyFont="1" applyFill="1" applyBorder="1"/>
    <xf numFmtId="164" fontId="4" fillId="8" borderId="46" xfId="0" applyNumberFormat="1" applyFont="1" applyFill="1" applyBorder="1"/>
    <xf numFmtId="0" fontId="0" fillId="6" borderId="31" xfId="0" applyFill="1" applyBorder="1"/>
    <xf numFmtId="0" fontId="0" fillId="0" borderId="0" xfId="0" applyAlignment="1">
      <alignment horizontal="center"/>
    </xf>
    <xf numFmtId="0" fontId="5" fillId="0" borderId="17" xfId="0" applyFont="1" applyBorder="1" applyAlignment="1">
      <alignment horizontal="center"/>
    </xf>
    <xf numFmtId="0" fontId="5" fillId="0" borderId="18" xfId="0" applyFont="1" applyBorder="1" applyAlignment="1">
      <alignment horizontal="center"/>
    </xf>
    <xf numFmtId="0" fontId="5" fillId="0" borderId="19" xfId="0" applyFont="1" applyBorder="1" applyAlignment="1">
      <alignment horizontal="center"/>
    </xf>
    <xf numFmtId="0" fontId="5" fillId="0" borderId="20" xfId="0" applyFont="1" applyBorder="1" applyAlignment="1">
      <alignment horizontal="center"/>
    </xf>
    <xf numFmtId="0" fontId="5" fillId="0" borderId="21" xfId="0" applyFont="1" applyBorder="1" applyAlignment="1">
      <alignment horizontal="center"/>
    </xf>
    <xf numFmtId="0" fontId="5" fillId="0" borderId="10" xfId="0" applyFont="1" applyBorder="1" applyAlignment="1">
      <alignment horizontal="center"/>
    </xf>
    <xf numFmtId="0" fontId="2" fillId="0" borderId="12" xfId="0" applyFont="1" applyBorder="1" applyAlignment="1">
      <alignment horizontal="center"/>
    </xf>
    <xf numFmtId="0" fontId="0" fillId="0" borderId="13" xfId="0" applyBorder="1" applyAlignment="1">
      <alignment horizontal="center"/>
    </xf>
    <xf numFmtId="0" fontId="2" fillId="0" borderId="13" xfId="0" applyFont="1" applyBorder="1" applyAlignment="1">
      <alignment horizontal="center"/>
    </xf>
    <xf numFmtId="0" fontId="7" fillId="0" borderId="17" xfId="0"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8" fillId="0" borderId="20" xfId="0" applyFont="1" applyBorder="1" applyAlignment="1">
      <alignment horizontal="center" vertical="center"/>
    </xf>
    <xf numFmtId="0" fontId="8" fillId="0" borderId="21" xfId="0" applyFont="1" applyBorder="1" applyAlignment="1">
      <alignment horizontal="center" vertical="center"/>
    </xf>
    <xf numFmtId="0" fontId="8" fillId="0" borderId="10" xfId="0" applyFont="1" applyBorder="1" applyAlignment="1">
      <alignment horizontal="center" vertical="center"/>
    </xf>
    <xf numFmtId="0" fontId="0" fillId="6" borderId="35" xfId="0" applyFill="1" applyBorder="1" applyAlignment="1">
      <alignment horizontal="center"/>
    </xf>
    <xf numFmtId="0" fontId="0" fillId="6" borderId="32" xfId="0" applyFill="1" applyBorder="1" applyAlignment="1">
      <alignment horizontal="center"/>
    </xf>
    <xf numFmtId="0" fontId="0" fillId="6" borderId="37" xfId="0" applyFill="1" applyBorder="1" applyAlignment="1">
      <alignment horizontal="center"/>
    </xf>
    <xf numFmtId="0" fontId="0" fillId="6" borderId="9" xfId="0" applyFill="1" applyBorder="1"/>
    <xf numFmtId="2" fontId="0" fillId="6" borderId="9" xfId="0" applyNumberFormat="1" applyFill="1" applyBorder="1"/>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21" xfId="0" applyFont="1" applyBorder="1" applyAlignment="1">
      <alignment horizontal="center" vertical="center"/>
    </xf>
    <xf numFmtId="0" fontId="7" fillId="0" borderId="19" xfId="0" applyFont="1" applyBorder="1" applyAlignment="1">
      <alignment horizontal="center" vertical="center"/>
    </xf>
    <xf numFmtId="0" fontId="7" fillId="0" borderId="10" xfId="0" applyFont="1" applyBorder="1" applyAlignment="1">
      <alignment horizontal="center" vertical="center"/>
    </xf>
    <xf numFmtId="0" fontId="0" fillId="0" borderId="32" xfId="0" applyBorder="1"/>
    <xf numFmtId="0" fontId="0" fillId="0" borderId="47" xfId="0" applyBorder="1" applyAlignment="1">
      <alignment horizontal="center"/>
    </xf>
    <xf numFmtId="0" fontId="2" fillId="0" borderId="47" xfId="0" applyFont="1" applyBorder="1" applyAlignment="1">
      <alignment horizontal="center"/>
    </xf>
    <xf numFmtId="0" fontId="2" fillId="0" borderId="0" xfId="0" applyFont="1" applyAlignment="1">
      <alignment horizontal="center"/>
    </xf>
  </cellXfs>
  <cellStyles count="2">
    <cellStyle name="Normal" xfId="0" builtinId="0"/>
    <cellStyle name="Output" xfId="1" builtinId="21"/>
  </cellStyles>
  <dxfs count="23">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numFmt numFmtId="19" formatCode="yyyy/mm/dd"/>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
      <numFmt numFmtId="19" formatCode="yyyy/mm/dd"/>
      <border diagonalUp="0" diagonalDown="0">
        <left style="thin">
          <color indexed="64"/>
        </left>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4"/>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00B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Element</a:t>
            </a:r>
            <a:r>
              <a:rPr lang="en-US" baseline="0"/>
              <a:t>: </a:t>
            </a:r>
            <a:r>
              <a:rPr lang="en-US"/>
              <a:t>mV vs %FS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Calculator!$J$27</c:f>
              <c:strCache>
                <c:ptCount val="1"/>
                <c:pt idx="0">
                  <c:v>%FS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3"/>
            <c:intercept val="0"/>
            <c:dispRSqr val="1"/>
            <c:dispEq val="0"/>
            <c:trendlineLbl>
              <c:layout>
                <c:manualLayout>
                  <c:x val="1.4259300132723009E-2"/>
                  <c:y val="-0.11350721310048939"/>
                </c:manualLayout>
              </c:layout>
              <c:numFmt formatCode="#,##0.000000000" sourceLinked="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rendlineLbl>
          </c:trendline>
          <c:xVal>
            <c:numRef>
              <c:f>Calculator!$I$28:$I$38</c:f>
              <c:numCache>
                <c:formatCode>0.0</c:formatCode>
                <c:ptCount val="11"/>
                <c:pt idx="0">
                  <c:v>0</c:v>
                </c:pt>
                <c:pt idx="1">
                  <c:v>2.95</c:v>
                </c:pt>
                <c:pt idx="2">
                  <c:v>7.53</c:v>
                </c:pt>
                <c:pt idx="3">
                  <c:v>12.54</c:v>
                </c:pt>
                <c:pt idx="4">
                  <c:v>17.260000000000002</c:v>
                </c:pt>
                <c:pt idx="5">
                  <c:v>26.09</c:v>
                </c:pt>
                <c:pt idx="6">
                  <c:v>33.11</c:v>
                </c:pt>
                <c:pt idx="7">
                  <c:v>39.5</c:v>
                </c:pt>
                <c:pt idx="8">
                  <c:v>47.31</c:v>
                </c:pt>
                <c:pt idx="9">
                  <c:v>55.16</c:v>
                </c:pt>
                <c:pt idx="10">
                  <c:v>58.78</c:v>
                </c:pt>
              </c:numCache>
            </c:numRef>
          </c:xVal>
          <c:yVal>
            <c:numRef>
              <c:f>Calculator!$J$28:$J$38</c:f>
              <c:numCache>
                <c:formatCode>0.0%</c:formatCode>
                <c:ptCount val="11"/>
                <c:pt idx="0">
                  <c:v>0</c:v>
                </c:pt>
                <c:pt idx="1">
                  <c:v>2.98E-2</c:v>
                </c:pt>
                <c:pt idx="2">
                  <c:v>8.8539999999999994E-2</c:v>
                </c:pt>
                <c:pt idx="3">
                  <c:v>0.16880000000000001</c:v>
                </c:pt>
                <c:pt idx="4">
                  <c:v>0.25939999999999996</c:v>
                </c:pt>
                <c:pt idx="5">
                  <c:v>0.46719999999999995</c:v>
                </c:pt>
                <c:pt idx="6">
                  <c:v>0.66799999999999993</c:v>
                </c:pt>
                <c:pt idx="7">
                  <c:v>0.88339999999999996</c:v>
                </c:pt>
                <c:pt idx="8">
                  <c:v>1.1679999999999999</c:v>
                </c:pt>
                <c:pt idx="9">
                  <c:v>1.4571999999999998</c:v>
                </c:pt>
                <c:pt idx="10">
                  <c:v>1.5833999999999999</c:v>
                </c:pt>
              </c:numCache>
            </c:numRef>
          </c:yVal>
          <c:smooth val="1"/>
          <c:extLst>
            <c:ext xmlns:c16="http://schemas.microsoft.com/office/drawing/2014/chart" uri="{C3380CC4-5D6E-409C-BE32-E72D297353CC}">
              <c16:uniqueId val="{00000001-6205-CA45-A8AD-EC1650DDA9C0}"/>
            </c:ext>
          </c:extLst>
        </c:ser>
        <c:dLbls>
          <c:showLegendKey val="0"/>
          <c:showVal val="0"/>
          <c:showCatName val="0"/>
          <c:showSerName val="0"/>
          <c:showPercent val="0"/>
          <c:showBubbleSize val="0"/>
        </c:dLbls>
        <c:axId val="698856143"/>
        <c:axId val="698851871"/>
      </c:scatterChart>
      <c:valAx>
        <c:axId val="69885614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51871"/>
        <c:crosses val="autoZero"/>
        <c:crossBetween val="midCat"/>
        <c:majorUnit val="5"/>
      </c:valAx>
      <c:valAx>
        <c:axId val="698851871"/>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8856143"/>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5292</xdr:colOff>
      <xdr:row>22</xdr:row>
      <xdr:rowOff>1255</xdr:rowOff>
    </xdr:from>
    <xdr:to>
      <xdr:col>21</xdr:col>
      <xdr:colOff>167851</xdr:colOff>
      <xdr:row>50</xdr:row>
      <xdr:rowOff>20497</xdr:rowOff>
    </xdr:to>
    <xdr:graphicFrame macro="">
      <xdr:nvGraphicFramePr>
        <xdr:cNvPr id="2" name="Chart 1">
          <a:extLst>
            <a:ext uri="{FF2B5EF4-FFF2-40B4-BE49-F238E27FC236}">
              <a16:creationId xmlns:a16="http://schemas.microsoft.com/office/drawing/2014/main" id="{ADEACEB9-7046-7346-8809-ECE03EDD37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3216</xdr:colOff>
      <xdr:row>2</xdr:row>
      <xdr:rowOff>201746</xdr:rowOff>
    </xdr:from>
    <xdr:to>
      <xdr:col>15</xdr:col>
      <xdr:colOff>678871</xdr:colOff>
      <xdr:row>15</xdr:row>
      <xdr:rowOff>20121</xdr:rowOff>
    </xdr:to>
    <xdr:sp macro="" textlink="">
      <xdr:nvSpPr>
        <xdr:cNvPr id="3" name="TextBox 2">
          <a:extLst>
            <a:ext uri="{FF2B5EF4-FFF2-40B4-BE49-F238E27FC236}">
              <a16:creationId xmlns:a16="http://schemas.microsoft.com/office/drawing/2014/main" id="{25F39B6B-896B-2B47-8C25-76C6E35B2AEF}"/>
            </a:ext>
          </a:extLst>
        </xdr:cNvPr>
        <xdr:cNvSpPr txBox="1"/>
      </xdr:nvSpPr>
      <xdr:spPr>
        <a:xfrm>
          <a:off x="5629316" y="747846"/>
          <a:ext cx="10822955" cy="248537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following calculator is designed to help calculate the de-embedding coefficient values of wattmeter elements. The end result (highlighted in green) are the coefficients of a 3rd order polynomial trendline. Such values are to be entered into the DWM's (Digital Watt Meter) coefficient fields (COEF 1, 2, and 3) of the elements that are to be used for maximum accuracy. </a:t>
          </a:r>
        </a:p>
        <a:p>
          <a:endParaRPr lang="en-US" sz="1100" baseline="0"/>
        </a:p>
        <a:p>
          <a:r>
            <a:rPr lang="en-US" sz="1100" b="1" baseline="0"/>
            <a:t>This page requires 10 points </a:t>
          </a:r>
          <a:r>
            <a:rPr lang="en-US" sz="1100" baseline="0"/>
            <a:t>to be able to accurately calculate an element's de-embedding coefficients. The user does not need to de-embed the element up to 200%FS (full scale), the 10 data points may be filled up to whichever power level the user deems is acceptable.</a:t>
          </a:r>
        </a:p>
        <a:p>
          <a:endParaRPr lang="en-US" sz="1100" baseline="0"/>
        </a:p>
        <a:p>
          <a:r>
            <a:rPr lang="en-US" sz="1100" b="1"/>
            <a:t>Notes:</a:t>
          </a:r>
          <a:endParaRPr lang="en-US" sz="1100" b="0" baseline="0"/>
        </a:p>
        <a:p>
          <a:r>
            <a:rPr lang="en-US" sz="1100" b="1" baseline="0"/>
            <a:t>-</a:t>
          </a:r>
          <a:r>
            <a:rPr lang="en-US" sz="1100" baseline="0"/>
            <a:t> Be sure to have the correct meter impedance settings configured for the given elements (1400Ω for the 30uA meter and 3KΩ for the 100uA meter).</a:t>
          </a:r>
        </a:p>
        <a:p>
          <a:endParaRPr lang="en-US" sz="1100" baseline="0"/>
        </a:p>
        <a:p>
          <a:r>
            <a:rPr lang="en-US" sz="1100" baseline="0"/>
            <a:t>- The closer the </a:t>
          </a:r>
          <a:r>
            <a:rPr lang="en-US"/>
            <a:t>R² value is to</a:t>
          </a:r>
          <a:r>
            <a:rPr lang="en-US" baseline="0"/>
            <a:t> 1</a:t>
          </a:r>
          <a:r>
            <a:rPr lang="en-US"/>
            <a:t>, the more precise the</a:t>
          </a:r>
          <a:r>
            <a:rPr lang="en-US" baseline="0"/>
            <a:t> calibration will be. (Try to get it to be greater than 0.999 for best results)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If a higher level of precision is required in certain regions of the scale, it is recommended to perform more measurements in that region than in others.</a:t>
          </a:r>
        </a:p>
        <a:p>
          <a:endParaRPr lang="en-US" sz="1100" baseline="0"/>
        </a:p>
        <a:p>
          <a:endParaRPr lang="en-US" sz="1100" baseline="0"/>
        </a:p>
      </xdr:txBody>
    </xdr:sp>
    <xdr:clientData/>
  </xdr:twoCellAnchor>
  <xdr:twoCellAnchor>
    <xdr:from>
      <xdr:col>1</xdr:col>
      <xdr:colOff>11240</xdr:colOff>
      <xdr:row>11</xdr:row>
      <xdr:rowOff>11240</xdr:rowOff>
    </xdr:from>
    <xdr:to>
      <xdr:col>1</xdr:col>
      <xdr:colOff>1573452</xdr:colOff>
      <xdr:row>17</xdr:row>
      <xdr:rowOff>0</xdr:rowOff>
    </xdr:to>
    <xdr:sp macro="" textlink="">
      <xdr:nvSpPr>
        <xdr:cNvPr id="4" name="TextBox 3">
          <a:extLst>
            <a:ext uri="{FF2B5EF4-FFF2-40B4-BE49-F238E27FC236}">
              <a16:creationId xmlns:a16="http://schemas.microsoft.com/office/drawing/2014/main" id="{A854F829-50C5-6A46-B152-B92893FDAB11}"/>
            </a:ext>
          </a:extLst>
        </xdr:cNvPr>
        <xdr:cNvSpPr txBox="1"/>
      </xdr:nvSpPr>
      <xdr:spPr>
        <a:xfrm>
          <a:off x="836740" y="2411540"/>
          <a:ext cx="1562212" cy="120796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Definition:</a:t>
          </a:r>
        </a:p>
        <a:p>
          <a:r>
            <a:rPr lang="en-US" sz="1100"/>
            <a:t>%FS = % Full Scale of given element</a:t>
          </a:r>
        </a:p>
        <a:p>
          <a:endParaRPr lang="en-US" sz="1100"/>
        </a:p>
        <a:p>
          <a:r>
            <a:rPr lang="en-US" sz="1100" b="1"/>
            <a:t>e.g.:</a:t>
          </a:r>
          <a:r>
            <a:rPr lang="en-US" sz="1100" b="1" baseline="0"/>
            <a:t> </a:t>
          </a:r>
          <a:r>
            <a:rPr lang="en-US" sz="1100" baseline="0"/>
            <a:t>150%FS of a 10W element is 15W.</a:t>
          </a:r>
          <a:endParaRPr lang="en-US" sz="1100"/>
        </a:p>
      </xdr:txBody>
    </xdr:sp>
    <xdr:clientData/>
  </xdr:twoCellAnchor>
  <xdr:twoCellAnchor>
    <xdr:from>
      <xdr:col>5</xdr:col>
      <xdr:colOff>812800</xdr:colOff>
      <xdr:row>44</xdr:row>
      <xdr:rowOff>0</xdr:rowOff>
    </xdr:from>
    <xdr:to>
      <xdr:col>8</xdr:col>
      <xdr:colOff>101600</xdr:colOff>
      <xdr:row>48</xdr:row>
      <xdr:rowOff>177800</xdr:rowOff>
    </xdr:to>
    <xdr:sp macro="" textlink="">
      <xdr:nvSpPr>
        <xdr:cNvPr id="5" name="TextBox 4">
          <a:extLst>
            <a:ext uri="{FF2B5EF4-FFF2-40B4-BE49-F238E27FC236}">
              <a16:creationId xmlns:a16="http://schemas.microsoft.com/office/drawing/2014/main" id="{DC2FA932-0D45-9A95-660C-D7E6E0EFF753}"/>
            </a:ext>
          </a:extLst>
        </xdr:cNvPr>
        <xdr:cNvSpPr txBox="1"/>
      </xdr:nvSpPr>
      <xdr:spPr>
        <a:xfrm>
          <a:off x="5600700" y="9182100"/>
          <a:ext cx="1803400" cy="9906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Voltage measured</a:t>
          </a:r>
          <a:r>
            <a:rPr lang="en-US" sz="1100" baseline="0"/>
            <a:t> by the DWM in the "mV Read" menu option. (NOT AN EXTERNAL METER, IT WILL EFFECT ACCURACY).</a:t>
          </a:r>
          <a:endParaRPr lang="en-US" sz="1100"/>
        </a:p>
      </xdr:txBody>
    </xdr:sp>
    <xdr:clientData/>
  </xdr:twoCellAnchor>
  <xdr:twoCellAnchor>
    <xdr:from>
      <xdr:col>5</xdr:col>
      <xdr:colOff>546100</xdr:colOff>
      <xdr:row>38</xdr:row>
      <xdr:rowOff>12700</xdr:rowOff>
    </xdr:from>
    <xdr:to>
      <xdr:col>6</xdr:col>
      <xdr:colOff>114300</xdr:colOff>
      <xdr:row>44</xdr:row>
      <xdr:rowOff>12700</xdr:rowOff>
    </xdr:to>
    <xdr:cxnSp macro="">
      <xdr:nvCxnSpPr>
        <xdr:cNvPr id="7" name="Straight Connector 6">
          <a:extLst>
            <a:ext uri="{FF2B5EF4-FFF2-40B4-BE49-F238E27FC236}">
              <a16:creationId xmlns:a16="http://schemas.microsoft.com/office/drawing/2014/main" id="{D01F99CC-6866-BA3A-F4A7-B1F505B1512C}"/>
            </a:ext>
          </a:extLst>
        </xdr:cNvPr>
        <xdr:cNvCxnSpPr/>
      </xdr:nvCxnSpPr>
      <xdr:spPr>
        <a:xfrm flipH="1" flipV="1">
          <a:off x="5334000" y="7975600"/>
          <a:ext cx="406400" cy="12192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457200</xdr:colOff>
      <xdr:row>43</xdr:row>
      <xdr:rowOff>190500</xdr:rowOff>
    </xdr:from>
    <xdr:to>
      <xdr:col>5</xdr:col>
      <xdr:colOff>0</xdr:colOff>
      <xdr:row>48</xdr:row>
      <xdr:rowOff>38100</xdr:rowOff>
    </xdr:to>
    <xdr:sp macro="" textlink="">
      <xdr:nvSpPr>
        <xdr:cNvPr id="10" name="TextBox 9">
          <a:extLst>
            <a:ext uri="{FF2B5EF4-FFF2-40B4-BE49-F238E27FC236}">
              <a16:creationId xmlns:a16="http://schemas.microsoft.com/office/drawing/2014/main" id="{6FD399D5-D914-D890-62FB-D1427F233797}"/>
            </a:ext>
          </a:extLst>
        </xdr:cNvPr>
        <xdr:cNvSpPr txBox="1"/>
      </xdr:nvSpPr>
      <xdr:spPr>
        <a:xfrm>
          <a:off x="2870200" y="9169400"/>
          <a:ext cx="1917700" cy="8636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Power measured by a precision</a:t>
          </a:r>
          <a:r>
            <a:rPr lang="en-US" sz="1100" baseline="0"/>
            <a:t> reference instrument or a trustworthy measurement device.</a:t>
          </a:r>
          <a:endParaRPr lang="en-US" sz="1100"/>
        </a:p>
      </xdr:txBody>
    </xdr:sp>
    <xdr:clientData/>
  </xdr:twoCellAnchor>
  <xdr:twoCellAnchor>
    <xdr:from>
      <xdr:col>4</xdr:col>
      <xdr:colOff>292100</xdr:colOff>
      <xdr:row>38</xdr:row>
      <xdr:rowOff>12700</xdr:rowOff>
    </xdr:from>
    <xdr:to>
      <xdr:col>4</xdr:col>
      <xdr:colOff>431800</xdr:colOff>
      <xdr:row>44</xdr:row>
      <xdr:rowOff>0</xdr:rowOff>
    </xdr:to>
    <xdr:cxnSp macro="">
      <xdr:nvCxnSpPr>
        <xdr:cNvPr id="12" name="Straight Connector 11">
          <a:extLst>
            <a:ext uri="{FF2B5EF4-FFF2-40B4-BE49-F238E27FC236}">
              <a16:creationId xmlns:a16="http://schemas.microsoft.com/office/drawing/2014/main" id="{02C442F5-6FEF-5100-E777-3EE084BB9226}"/>
            </a:ext>
          </a:extLst>
        </xdr:cNvPr>
        <xdr:cNvCxnSpPr/>
      </xdr:nvCxnSpPr>
      <xdr:spPr>
        <a:xfrm flipV="1">
          <a:off x="4241800" y="7975600"/>
          <a:ext cx="139700" cy="12065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228600</xdr:colOff>
      <xdr:row>14</xdr:row>
      <xdr:rowOff>1155</xdr:rowOff>
    </xdr:from>
    <xdr:to>
      <xdr:col>5</xdr:col>
      <xdr:colOff>27709</xdr:colOff>
      <xdr:row>21</xdr:row>
      <xdr:rowOff>54263</xdr:rowOff>
    </xdr:to>
    <xdr:sp macro="" textlink="">
      <xdr:nvSpPr>
        <xdr:cNvPr id="13" name="TextBox 12">
          <a:extLst>
            <a:ext uri="{FF2B5EF4-FFF2-40B4-BE49-F238E27FC236}">
              <a16:creationId xmlns:a16="http://schemas.microsoft.com/office/drawing/2014/main" id="{E53173A1-7E1E-FB7D-5EE5-D4AB44FEC389}"/>
            </a:ext>
          </a:extLst>
        </xdr:cNvPr>
        <xdr:cNvSpPr txBox="1"/>
      </xdr:nvSpPr>
      <xdr:spPr>
        <a:xfrm>
          <a:off x="3288145" y="3060700"/>
          <a:ext cx="1542473" cy="1530927"/>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Recommended</a:t>
          </a:r>
          <a:r>
            <a:rPr lang="en-US" sz="1100" baseline="0"/>
            <a:t> %FS and power are not used in any calculations. They are only to be used as a general target power for the measurement to help the user.</a:t>
          </a:r>
          <a:endParaRPr lang="en-US" sz="1100"/>
        </a:p>
      </xdr:txBody>
    </xdr:sp>
    <xdr:clientData/>
  </xdr:twoCellAnchor>
  <xdr:twoCellAnchor>
    <xdr:from>
      <xdr:col>3</xdr:col>
      <xdr:colOff>0</xdr:colOff>
      <xdr:row>21</xdr:row>
      <xdr:rowOff>57727</xdr:rowOff>
    </xdr:from>
    <xdr:to>
      <xdr:col>3</xdr:col>
      <xdr:colOff>900545</xdr:colOff>
      <xdr:row>25</xdr:row>
      <xdr:rowOff>0</xdr:rowOff>
    </xdr:to>
    <xdr:cxnSp macro="">
      <xdr:nvCxnSpPr>
        <xdr:cNvPr id="16" name="Straight Connector 15">
          <a:extLst>
            <a:ext uri="{FF2B5EF4-FFF2-40B4-BE49-F238E27FC236}">
              <a16:creationId xmlns:a16="http://schemas.microsoft.com/office/drawing/2014/main" id="{A76EF59A-8025-6D64-B035-0D56D2CDBD90}"/>
            </a:ext>
          </a:extLst>
        </xdr:cNvPr>
        <xdr:cNvCxnSpPr/>
      </xdr:nvCxnSpPr>
      <xdr:spPr>
        <a:xfrm flipV="1">
          <a:off x="3059545" y="4595091"/>
          <a:ext cx="900545" cy="785091"/>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346363</xdr:colOff>
      <xdr:row>21</xdr:row>
      <xdr:rowOff>103910</xdr:rowOff>
    </xdr:from>
    <xdr:to>
      <xdr:col>7</xdr:col>
      <xdr:colOff>323273</xdr:colOff>
      <xdr:row>22</xdr:row>
      <xdr:rowOff>196273</xdr:rowOff>
    </xdr:to>
    <xdr:sp macro="" textlink="">
      <xdr:nvSpPr>
        <xdr:cNvPr id="6" name="TextBox 5">
          <a:extLst>
            <a:ext uri="{FF2B5EF4-FFF2-40B4-BE49-F238E27FC236}">
              <a16:creationId xmlns:a16="http://schemas.microsoft.com/office/drawing/2014/main" id="{2D26D91D-870B-62E0-9FF4-357E98AD207D}"/>
            </a:ext>
          </a:extLst>
        </xdr:cNvPr>
        <xdr:cNvSpPr txBox="1"/>
      </xdr:nvSpPr>
      <xdr:spPr>
        <a:xfrm>
          <a:off x="5992090" y="4652819"/>
          <a:ext cx="819728" cy="300181"/>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xdr:txBody>
    </xdr:sp>
    <xdr:clientData/>
  </xdr:twoCellAnchor>
  <xdr:twoCellAnchor>
    <xdr:from>
      <xdr:col>5</xdr:col>
      <xdr:colOff>831273</xdr:colOff>
      <xdr:row>22</xdr:row>
      <xdr:rowOff>196273</xdr:rowOff>
    </xdr:from>
    <xdr:to>
      <xdr:col>6</xdr:col>
      <xdr:colOff>756227</xdr:colOff>
      <xdr:row>25</xdr:row>
      <xdr:rowOff>138545</xdr:rowOff>
    </xdr:to>
    <xdr:cxnSp macro="">
      <xdr:nvCxnSpPr>
        <xdr:cNvPr id="9" name="Straight Connector 8">
          <a:extLst>
            <a:ext uri="{FF2B5EF4-FFF2-40B4-BE49-F238E27FC236}">
              <a16:creationId xmlns:a16="http://schemas.microsoft.com/office/drawing/2014/main" id="{72945E10-28DC-2A4A-1366-C8B36AAE211A}"/>
            </a:ext>
          </a:extLst>
        </xdr:cNvPr>
        <xdr:cNvCxnSpPr>
          <a:stCxn id="6" idx="2"/>
        </xdr:cNvCxnSpPr>
      </xdr:nvCxnSpPr>
      <xdr:spPr>
        <a:xfrm flipH="1">
          <a:off x="5634182" y="4953000"/>
          <a:ext cx="767772" cy="5888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187035</xdr:colOff>
      <xdr:row>18</xdr:row>
      <xdr:rowOff>36946</xdr:rowOff>
    </xdr:from>
    <xdr:to>
      <xdr:col>17</xdr:col>
      <xdr:colOff>692728</xdr:colOff>
      <xdr:row>21</xdr:row>
      <xdr:rowOff>169333</xdr:rowOff>
    </xdr:to>
    <xdr:sp macro="" textlink="">
      <xdr:nvSpPr>
        <xdr:cNvPr id="8" name="TextBox 7">
          <a:extLst>
            <a:ext uri="{FF2B5EF4-FFF2-40B4-BE49-F238E27FC236}">
              <a16:creationId xmlns:a16="http://schemas.microsoft.com/office/drawing/2014/main" id="{64DC1760-580C-3A44-B5AF-0F84BD9A5DD5}"/>
            </a:ext>
          </a:extLst>
        </xdr:cNvPr>
        <xdr:cNvSpPr txBox="1"/>
      </xdr:nvSpPr>
      <xdr:spPr>
        <a:xfrm>
          <a:off x="16771118" y="3825779"/>
          <a:ext cx="1331193" cy="75680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Values to be entered into the DWM.</a:t>
          </a:r>
        </a:p>
      </xdr:txBody>
    </xdr:sp>
    <xdr:clientData/>
  </xdr:twoCellAnchor>
  <xdr:twoCellAnchor>
    <xdr:from>
      <xdr:col>15</xdr:col>
      <xdr:colOff>13855</xdr:colOff>
      <xdr:row>20</xdr:row>
      <xdr:rowOff>2598</xdr:rowOff>
    </xdr:from>
    <xdr:to>
      <xdr:col>16</xdr:col>
      <xdr:colOff>187035</xdr:colOff>
      <xdr:row>20</xdr:row>
      <xdr:rowOff>129310</xdr:rowOff>
    </xdr:to>
    <xdr:cxnSp macro="">
      <xdr:nvCxnSpPr>
        <xdr:cNvPr id="11" name="Straight Connector 10">
          <a:extLst>
            <a:ext uri="{FF2B5EF4-FFF2-40B4-BE49-F238E27FC236}">
              <a16:creationId xmlns:a16="http://schemas.microsoft.com/office/drawing/2014/main" id="{6E3DB598-EE51-F740-883B-B95D993EBB9D}"/>
            </a:ext>
          </a:extLst>
        </xdr:cNvPr>
        <xdr:cNvCxnSpPr>
          <a:stCxn id="8" idx="1"/>
        </xdr:cNvCxnSpPr>
      </xdr:nvCxnSpPr>
      <xdr:spPr>
        <a:xfrm flipH="1">
          <a:off x="15772438" y="4204181"/>
          <a:ext cx="998680" cy="126712"/>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361462</xdr:colOff>
      <xdr:row>15</xdr:row>
      <xdr:rowOff>68385</xdr:rowOff>
    </xdr:from>
    <xdr:to>
      <xdr:col>22</xdr:col>
      <xdr:colOff>635000</xdr:colOff>
      <xdr:row>19</xdr:row>
      <xdr:rowOff>185615</xdr:rowOff>
    </xdr:to>
    <xdr:sp macro="" textlink="">
      <xdr:nvSpPr>
        <xdr:cNvPr id="17" name="TextBox 16">
          <a:extLst>
            <a:ext uri="{FF2B5EF4-FFF2-40B4-BE49-F238E27FC236}">
              <a16:creationId xmlns:a16="http://schemas.microsoft.com/office/drawing/2014/main" id="{73A4AC55-5FCD-7343-A65E-0A0901F60837}"/>
            </a:ext>
          </a:extLst>
        </xdr:cNvPr>
        <xdr:cNvSpPr txBox="1"/>
      </xdr:nvSpPr>
      <xdr:spPr>
        <a:xfrm>
          <a:off x="20320000" y="3302000"/>
          <a:ext cx="1934308" cy="957384"/>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1200"/>
            <a:t>The closer to 1, the more accurate</a:t>
          </a:r>
          <a:r>
            <a:rPr lang="en-US" sz="1100" b="1" kern="1200" baseline="0"/>
            <a:t> the DWM will be for this element configuration.</a:t>
          </a:r>
          <a:endParaRPr lang="en-US" sz="1100" b="1" kern="1200"/>
        </a:p>
      </xdr:txBody>
    </xdr:sp>
    <xdr:clientData/>
  </xdr:twoCellAnchor>
  <xdr:twoCellAnchor>
    <xdr:from>
      <xdr:col>19</xdr:col>
      <xdr:colOff>151438</xdr:colOff>
      <xdr:row>17</xdr:row>
      <xdr:rowOff>136769</xdr:rowOff>
    </xdr:from>
    <xdr:to>
      <xdr:col>20</xdr:col>
      <xdr:colOff>361462</xdr:colOff>
      <xdr:row>22</xdr:row>
      <xdr:rowOff>32432</xdr:rowOff>
    </xdr:to>
    <xdr:cxnSp macro="">
      <xdr:nvCxnSpPr>
        <xdr:cNvPr id="18" name="Straight Connector 17">
          <a:extLst>
            <a:ext uri="{FF2B5EF4-FFF2-40B4-BE49-F238E27FC236}">
              <a16:creationId xmlns:a16="http://schemas.microsoft.com/office/drawing/2014/main" id="{8FCE6A3B-8D7C-4246-A600-119FADB15504}"/>
            </a:ext>
          </a:extLst>
        </xdr:cNvPr>
        <xdr:cNvCxnSpPr>
          <a:stCxn id="17" idx="1"/>
        </xdr:cNvCxnSpPr>
      </xdr:nvCxnSpPr>
      <xdr:spPr>
        <a:xfrm flipH="1">
          <a:off x="19279592" y="3780692"/>
          <a:ext cx="1040408" cy="9507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484910</xdr:colOff>
      <xdr:row>2</xdr:row>
      <xdr:rowOff>127000</xdr:rowOff>
    </xdr:from>
    <xdr:to>
      <xdr:col>19</xdr:col>
      <xdr:colOff>357909</xdr:colOff>
      <xdr:row>5</xdr:row>
      <xdr:rowOff>46182</xdr:rowOff>
    </xdr:to>
    <xdr:sp macro="" textlink="">
      <xdr:nvSpPr>
        <xdr:cNvPr id="2" name="TextBox 1">
          <a:extLst>
            <a:ext uri="{FF2B5EF4-FFF2-40B4-BE49-F238E27FC236}">
              <a16:creationId xmlns:a16="http://schemas.microsoft.com/office/drawing/2014/main" id="{6E778796-582A-FA7D-C157-F9BDC23A3C4F}"/>
            </a:ext>
          </a:extLst>
        </xdr:cNvPr>
        <xdr:cNvSpPr txBox="1"/>
      </xdr:nvSpPr>
      <xdr:spPr>
        <a:xfrm>
          <a:off x="13843001" y="623455"/>
          <a:ext cx="6523181" cy="64654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Please</a:t>
          </a:r>
          <a:r>
            <a:rPr lang="en-US" sz="1100" baseline="0"/>
            <a:t> use the following log table to keep track of all de-embedding data for future reference.</a:t>
          </a:r>
        </a:p>
        <a:p>
          <a:r>
            <a:rPr lang="en-US" sz="1100" baseline="0"/>
            <a:t>Be carefull when pasting values, excel is weird... (I'm working on a better way to do all of this)</a:t>
          </a:r>
        </a:p>
        <a:p>
          <a:r>
            <a:rPr lang="en-US" sz="1100" i="1" baseline="0"/>
            <a:t>Quick tip: Use the keys "crtl and ;" to fill in the current date automatically.</a:t>
          </a:r>
          <a:endParaRPr lang="en-US" sz="1100"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177800</xdr:colOff>
      <xdr:row>2</xdr:row>
      <xdr:rowOff>114301</xdr:rowOff>
    </xdr:from>
    <xdr:to>
      <xdr:col>7</xdr:col>
      <xdr:colOff>812800</xdr:colOff>
      <xdr:row>4</xdr:row>
      <xdr:rowOff>127000</xdr:rowOff>
    </xdr:to>
    <xdr:sp macro="" textlink="">
      <xdr:nvSpPr>
        <xdr:cNvPr id="3" name="TextBox 2">
          <a:extLst>
            <a:ext uri="{FF2B5EF4-FFF2-40B4-BE49-F238E27FC236}">
              <a16:creationId xmlns:a16="http://schemas.microsoft.com/office/drawing/2014/main" id="{4E5D0E6E-455C-DB42-8F5F-FAEA53453126}"/>
            </a:ext>
          </a:extLst>
        </xdr:cNvPr>
        <xdr:cNvSpPr txBox="1"/>
      </xdr:nvSpPr>
      <xdr:spPr>
        <a:xfrm>
          <a:off x="1828800" y="609601"/>
          <a:ext cx="4762500" cy="419099"/>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page is not required. It is just to help with keeping track of sample data.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750455</xdr:colOff>
      <xdr:row>3</xdr:row>
      <xdr:rowOff>138546</xdr:rowOff>
    </xdr:from>
    <xdr:to>
      <xdr:col>17</xdr:col>
      <xdr:colOff>277091</xdr:colOff>
      <xdr:row>5</xdr:row>
      <xdr:rowOff>127000</xdr:rowOff>
    </xdr:to>
    <xdr:sp macro="" textlink="">
      <xdr:nvSpPr>
        <xdr:cNvPr id="2" name="TextBox 1">
          <a:extLst>
            <a:ext uri="{FF2B5EF4-FFF2-40B4-BE49-F238E27FC236}">
              <a16:creationId xmlns:a16="http://schemas.microsoft.com/office/drawing/2014/main" id="{802D6B16-A64F-4B44-A5EE-FDCBAFC338C9}"/>
            </a:ext>
          </a:extLst>
        </xdr:cNvPr>
        <xdr:cNvSpPr txBox="1"/>
      </xdr:nvSpPr>
      <xdr:spPr>
        <a:xfrm>
          <a:off x="12930910" y="877455"/>
          <a:ext cx="5345545" cy="47336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logging</a:t>
          </a:r>
          <a:r>
            <a:rPr lang="en-US" sz="1100" baseline="0"/>
            <a:t> page is for the elements that are being used way out of their normal operating range. (They will yeild pretty strange de-embedding values! But it works!)</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C92CD7-6D3E-2547-BA5F-07C8E54B65C0}" name="Table2" displayName="Table2" ref="B7:K57" totalsRowShown="0" headerRowDxfId="22" tableBorderDxfId="21">
  <autoFilter ref="B7:K57" xr:uid="{58C92CD7-6D3E-2547-BA5F-07C8E54B65C0}"/>
  <tableColumns count="10">
    <tableColumn id="1" xr3:uid="{82D28B47-3247-B94A-B24D-E356811B0DE9}" name="Log Number" dataDxfId="20"/>
    <tableColumn id="2" xr3:uid="{FB740E9C-F318-0041-A5A6-1DA05F26E998}" name="Name" dataDxfId="19"/>
    <tableColumn id="3" xr3:uid="{65E1401D-8102-6948-B124-0921434EBD18}" name="Power" dataDxfId="18"/>
    <tableColumn id="4" xr3:uid="{9D27337E-1596-B041-A53F-6A1A71F7BF11}" name="Frequency Range" dataDxfId="17"/>
    <tableColumn id="5" xr3:uid="{319334B3-82F9-754A-8C30-FB3491DD4524}" name="Model #" dataDxfId="16"/>
    <tableColumn id="10" xr3:uid="{4944348F-4543-814C-9057-BDA7C363667B}" name="COEF 1" dataDxfId="2"/>
    <tableColumn id="6" xr3:uid="{62122C96-4918-4F42-BD40-EDD2BF371911}" name="COEF 2" dataDxfId="1"/>
    <tableColumn id="7" xr3:uid="{6946D111-493D-3444-816F-22C9B84C585B}" name="COEF 3" dataDxfId="0"/>
    <tableColumn id="9" xr3:uid="{746946D2-4950-F345-9D09-E4D8D299CA92}" name="R² Value" dataDxfId="15"/>
    <tableColumn id="8" xr3:uid="{924C4BC5-2282-A54E-99EC-DF6737629C6E}" name="Date (yyyy-mm-dd)" dataDxfId="14"/>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EC4A84-AF2F-6E46-BF90-390D8045425B}" name="Table22" displayName="Table22" ref="B7:J57" totalsRowShown="0" headerRowDxfId="13" tableBorderDxfId="12">
  <autoFilter ref="B7:J57" xr:uid="{58C92CD7-6D3E-2547-BA5F-07C8E54B65C0}"/>
  <tableColumns count="9">
    <tableColumn id="1" xr3:uid="{F4B35EF3-3506-054D-941D-3DCC189C96E7}" name="Log Number" dataDxfId="11"/>
    <tableColumn id="2" xr3:uid="{B52E94C9-63DE-6F4E-B71A-86E3A8A60F36}" name="Name" dataDxfId="10"/>
    <tableColumn id="3" xr3:uid="{9A157FB2-07D8-D046-92A9-46D27FBD8A8A}" name="Power" dataDxfId="9"/>
    <tableColumn id="4" xr3:uid="{5687E11F-E056-7A42-A778-C1586D520397}" name="Frequency Range" dataDxfId="8"/>
    <tableColumn id="5" xr3:uid="{06A9C13D-75B0-6F4A-AAFD-25A3C9EC1BD6}" name="Model #" dataDxfId="7"/>
    <tableColumn id="6" xr3:uid="{20E90E74-36F9-A84F-9A79-6D6C916CBDBF}" name="Exponent (V^2)" dataDxfId="6"/>
    <tableColumn id="7" xr3:uid="{EDCEF631-8986-BE4D-997E-42343B17FE22}" name="Linear (V^1)" dataDxfId="5"/>
    <tableColumn id="9" xr3:uid="{CDC630E2-9025-344B-BFEC-034B439119C4}" name="R² Value" dataDxfId="4"/>
    <tableColumn id="8" xr3:uid="{63123ACB-BB65-654D-99DB-0DB3F381C2D4}" name="Date (yyyy-mm-dd)" dataDxfId="3"/>
  </tableColumns>
  <tableStyleInfo name="TableStyleMedium16"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45B64-4B0F-2D43-9D2A-0F50C8EDAD10}">
  <dimension ref="A1:AB38"/>
  <sheetViews>
    <sheetView tabSelected="1" zoomScale="120" zoomScaleNormal="120" workbookViewId="0">
      <selection activeCell="C10" sqref="C10"/>
    </sheetView>
  </sheetViews>
  <sheetFormatPr baseColWidth="10" defaultRowHeight="16" x14ac:dyDescent="0.2"/>
  <cols>
    <col min="2" max="2" width="20.83203125" bestFit="1" customWidth="1"/>
    <col min="3" max="3" width="8.33203125" customWidth="1"/>
    <col min="4" max="4" width="11.83203125" customWidth="1"/>
    <col min="5" max="6" width="11" bestFit="1" customWidth="1"/>
    <col min="7" max="8" width="11" customWidth="1"/>
    <col min="10" max="10" width="11" bestFit="1" customWidth="1"/>
    <col min="12" max="12" width="28" customWidth="1"/>
    <col min="13" max="13" width="17" customWidth="1"/>
    <col min="14" max="14" width="17.6640625" customWidth="1"/>
    <col min="15" max="15" width="15.83203125" customWidth="1"/>
    <col min="23" max="23" width="27.83203125" customWidth="1"/>
    <col min="24" max="24" width="16.5" customWidth="1"/>
    <col min="25" max="25" width="13.83203125" customWidth="1"/>
  </cols>
  <sheetData>
    <row r="1" spans="1:15" ht="22" customHeight="1" x14ac:dyDescent="0.25">
      <c r="A1" s="69" t="s">
        <v>37</v>
      </c>
      <c r="B1" s="70"/>
      <c r="C1" s="70"/>
      <c r="D1" s="70"/>
      <c r="E1" s="71"/>
      <c r="G1" s="78" t="s">
        <v>41</v>
      </c>
      <c r="H1" s="79"/>
      <c r="I1" s="79"/>
      <c r="J1" s="79"/>
      <c r="K1" s="79"/>
      <c r="L1" s="79"/>
      <c r="M1" s="79"/>
      <c r="N1" s="79"/>
      <c r="O1" s="80"/>
    </row>
    <row r="2" spans="1:15" ht="21" customHeight="1" thickBot="1" x14ac:dyDescent="0.3">
      <c r="A2" s="72" t="s">
        <v>29</v>
      </c>
      <c r="B2" s="73"/>
      <c r="C2" s="73"/>
      <c r="D2" s="73"/>
      <c r="E2" s="74"/>
      <c r="G2" s="81"/>
      <c r="H2" s="82"/>
      <c r="I2" s="82"/>
      <c r="J2" s="82"/>
      <c r="K2" s="82"/>
      <c r="L2" s="82"/>
      <c r="M2" s="82"/>
      <c r="N2" s="82"/>
      <c r="O2" s="83"/>
    </row>
    <row r="4" spans="1:15" ht="17" thickBot="1" x14ac:dyDescent="0.25"/>
    <row r="5" spans="1:15" x14ac:dyDescent="0.2">
      <c r="B5" s="6" t="s">
        <v>13</v>
      </c>
      <c r="C5" s="95"/>
      <c r="D5" s="68"/>
    </row>
    <row r="6" spans="1:15" x14ac:dyDescent="0.2">
      <c r="B6" s="5" t="s">
        <v>4</v>
      </c>
      <c r="C6" s="96" t="s">
        <v>42</v>
      </c>
      <c r="D6" s="97"/>
    </row>
    <row r="7" spans="1:15" x14ac:dyDescent="0.2">
      <c r="B7" s="4" t="s">
        <v>5</v>
      </c>
      <c r="C7" s="96" t="s">
        <v>42</v>
      </c>
      <c r="D7" s="97"/>
    </row>
    <row r="8" spans="1:15" ht="17" thickBot="1" x14ac:dyDescent="0.25">
      <c r="B8" s="7" t="s">
        <v>3</v>
      </c>
      <c r="C8" s="96" t="s">
        <v>42</v>
      </c>
      <c r="D8" s="97"/>
    </row>
    <row r="17" spans="3:28" x14ac:dyDescent="0.2">
      <c r="Y17" s="68" t="s">
        <v>34</v>
      </c>
      <c r="Z17" s="68"/>
      <c r="AA17" s="68"/>
      <c r="AB17" s="68"/>
    </row>
    <row r="18" spans="3:28" ht="17" thickBot="1" x14ac:dyDescent="0.25">
      <c r="Y18" s="67" cm="1">
        <f t="array" ref="Y18:AB18">LINEST(J28:J38,I28:I38^{1,2,3},FALSE,FALSE)</f>
        <v>-2.1599930822397664E-6</v>
      </c>
      <c r="Z18" s="67">
        <v>4.5645021737812153E-4</v>
      </c>
      <c r="AA18" s="67">
        <v>7.7077102978998606E-3</v>
      </c>
      <c r="AB18" s="67">
        <v>0</v>
      </c>
    </row>
    <row r="19" spans="3:28" ht="17" thickBot="1" x14ac:dyDescent="0.25">
      <c r="M19" s="3" t="s">
        <v>31</v>
      </c>
      <c r="N19" s="3" t="s">
        <v>32</v>
      </c>
      <c r="O19" s="58" t="s">
        <v>33</v>
      </c>
    </row>
    <row r="20" spans="3:28" x14ac:dyDescent="0.2">
      <c r="L20" s="54" t="s">
        <v>6</v>
      </c>
      <c r="M20" s="61">
        <f>AA18</f>
        <v>7.7077102978998606E-3</v>
      </c>
      <c r="N20" s="59">
        <f>Z18</f>
        <v>4.5645021737812153E-4</v>
      </c>
      <c r="O20" s="56">
        <f>Y18</f>
        <v>-2.1599930822397664E-6</v>
      </c>
      <c r="P20" s="2"/>
    </row>
    <row r="21" spans="3:28" ht="17" thickBot="1" x14ac:dyDescent="0.25">
      <c r="L21" s="55" t="s">
        <v>7</v>
      </c>
      <c r="M21" s="62">
        <f>M20*1000</f>
        <v>7.7077102978998608</v>
      </c>
      <c r="N21" s="60">
        <f>N20*1000000</f>
        <v>456.45021737812152</v>
      </c>
      <c r="O21" s="57">
        <f>O20*1000000</f>
        <v>-2.1599930822397666</v>
      </c>
    </row>
    <row r="24" spans="3:28" ht="17" thickBot="1" x14ac:dyDescent="0.25"/>
    <row r="25" spans="3:28" ht="17" thickBot="1" x14ac:dyDescent="0.25">
      <c r="E25" s="75" t="s">
        <v>12</v>
      </c>
      <c r="F25" s="76"/>
    </row>
    <row r="26" spans="3:28" ht="17" thickBot="1" x14ac:dyDescent="0.25">
      <c r="C26" s="75" t="s">
        <v>11</v>
      </c>
      <c r="D26" s="76"/>
      <c r="E26" s="3" t="s">
        <v>8</v>
      </c>
      <c r="F26" s="8">
        <v>5</v>
      </c>
      <c r="I26" s="75" t="s">
        <v>10</v>
      </c>
      <c r="J26" s="77"/>
    </row>
    <row r="27" spans="3:28" ht="17" thickBot="1" x14ac:dyDescent="0.25">
      <c r="C27" s="23" t="s">
        <v>1</v>
      </c>
      <c r="D27" s="20" t="s">
        <v>9</v>
      </c>
      <c r="E27" s="24" t="s">
        <v>2</v>
      </c>
      <c r="F27" s="25" t="s">
        <v>0</v>
      </c>
      <c r="G27" s="20" t="s">
        <v>1</v>
      </c>
      <c r="H27" s="1"/>
      <c r="I27" s="23" t="s">
        <v>0</v>
      </c>
      <c r="J27" s="20" t="s">
        <v>1</v>
      </c>
    </row>
    <row r="28" spans="3:28" x14ac:dyDescent="0.2">
      <c r="C28" s="16">
        <v>0</v>
      </c>
      <c r="D28" s="17">
        <f t="shared" ref="D28:D38" si="0">C28*F$26</f>
        <v>0</v>
      </c>
      <c r="E28" s="39">
        <v>0</v>
      </c>
      <c r="F28" s="40">
        <v>0</v>
      </c>
      <c r="G28" s="18">
        <f t="shared" ref="G28:G38" si="1">IF(ISNUMBER(E28), E28/F$26, #N/A)</f>
        <v>0</v>
      </c>
      <c r="H28" s="10"/>
      <c r="I28" s="12">
        <f>IF(ISNUMBER(F28), F28, 0)</f>
        <v>0</v>
      </c>
      <c r="J28" s="13">
        <f>IF(ISNUMBER(G28), G28, 0)</f>
        <v>0</v>
      </c>
    </row>
    <row r="29" spans="3:28" x14ac:dyDescent="0.2">
      <c r="C29" s="36">
        <v>0.05</v>
      </c>
      <c r="D29" s="11">
        <f t="shared" si="0"/>
        <v>0.25</v>
      </c>
      <c r="E29" s="33">
        <v>0.14899999999999999</v>
      </c>
      <c r="F29" s="30">
        <v>2.95</v>
      </c>
      <c r="G29" s="21">
        <f t="shared" si="1"/>
        <v>2.98E-2</v>
      </c>
      <c r="H29" s="10"/>
      <c r="I29" s="14">
        <f t="shared" ref="I29:I38" si="2">IF(ISNUMBER(F29), F29, I28)</f>
        <v>2.95</v>
      </c>
      <c r="J29" s="15">
        <f t="shared" ref="J29:J38" si="3">IF(ISNUMBER(G29), G29, J28)</f>
        <v>2.98E-2</v>
      </c>
    </row>
    <row r="30" spans="3:28" x14ac:dyDescent="0.2">
      <c r="C30" s="36">
        <v>0.1</v>
      </c>
      <c r="D30" s="11">
        <f t="shared" si="0"/>
        <v>0.5</v>
      </c>
      <c r="E30" s="33">
        <v>0.44269999999999998</v>
      </c>
      <c r="F30" s="30">
        <v>7.53</v>
      </c>
      <c r="G30" s="21">
        <f t="shared" si="1"/>
        <v>8.8539999999999994E-2</v>
      </c>
      <c r="H30" s="10"/>
      <c r="I30" s="14">
        <f t="shared" si="2"/>
        <v>7.53</v>
      </c>
      <c r="J30" s="15">
        <f t="shared" si="3"/>
        <v>8.8539999999999994E-2</v>
      </c>
    </row>
    <row r="31" spans="3:28" x14ac:dyDescent="0.2">
      <c r="C31" s="36">
        <v>0.25</v>
      </c>
      <c r="D31" s="11">
        <f t="shared" si="0"/>
        <v>1.25</v>
      </c>
      <c r="E31" s="33">
        <v>0.84399999999999997</v>
      </c>
      <c r="F31" s="30">
        <v>12.54</v>
      </c>
      <c r="G31" s="21">
        <f t="shared" si="1"/>
        <v>0.16880000000000001</v>
      </c>
      <c r="H31" s="10"/>
      <c r="I31" s="14">
        <f t="shared" si="2"/>
        <v>12.54</v>
      </c>
      <c r="J31" s="15">
        <f t="shared" si="3"/>
        <v>0.16880000000000001</v>
      </c>
    </row>
    <row r="32" spans="3:28" x14ac:dyDescent="0.2">
      <c r="C32" s="36">
        <v>0.5</v>
      </c>
      <c r="D32" s="11">
        <f t="shared" si="0"/>
        <v>2.5</v>
      </c>
      <c r="E32" s="33">
        <v>1.2969999999999999</v>
      </c>
      <c r="F32" s="30">
        <v>17.260000000000002</v>
      </c>
      <c r="G32" s="21">
        <f>IF(ISNUMBER(E32), E32/F$26, #N/A)</f>
        <v>0.25939999999999996</v>
      </c>
      <c r="H32" s="10"/>
      <c r="I32" s="14">
        <f>IF(ISNUMBER(F32), F32, I31)</f>
        <v>17.260000000000002</v>
      </c>
      <c r="J32" s="15">
        <f t="shared" si="3"/>
        <v>0.25939999999999996</v>
      </c>
    </row>
    <row r="33" spans="3:10" x14ac:dyDescent="0.2">
      <c r="C33" s="36">
        <v>0.75</v>
      </c>
      <c r="D33" s="11">
        <f t="shared" si="0"/>
        <v>3.75</v>
      </c>
      <c r="E33" s="33">
        <v>2.3359999999999999</v>
      </c>
      <c r="F33" s="30">
        <v>26.09</v>
      </c>
      <c r="G33" s="21">
        <f>IF(ISNUMBER(E33), E33/F$26, #N/A)</f>
        <v>0.46719999999999995</v>
      </c>
      <c r="H33" s="10"/>
      <c r="I33" s="14">
        <f>IF(ISNUMBER(F33), F33, I32)</f>
        <v>26.09</v>
      </c>
      <c r="J33" s="15">
        <f t="shared" si="3"/>
        <v>0.46719999999999995</v>
      </c>
    </row>
    <row r="34" spans="3:10" x14ac:dyDescent="0.2">
      <c r="C34" s="36">
        <v>1</v>
      </c>
      <c r="D34" s="11">
        <f t="shared" si="0"/>
        <v>5</v>
      </c>
      <c r="E34" s="33">
        <v>3.34</v>
      </c>
      <c r="F34" s="30">
        <v>33.11</v>
      </c>
      <c r="G34" s="21">
        <f>IF(ISNUMBER(E34), E34/F$26, #N/A)</f>
        <v>0.66799999999999993</v>
      </c>
      <c r="H34" s="10"/>
      <c r="I34" s="14">
        <f>IF(ISNUMBER(F34), F34, I33)</f>
        <v>33.11</v>
      </c>
      <c r="J34" s="15">
        <f t="shared" si="3"/>
        <v>0.66799999999999993</v>
      </c>
    </row>
    <row r="35" spans="3:10" x14ac:dyDescent="0.2">
      <c r="C35" s="36">
        <v>1.25</v>
      </c>
      <c r="D35" s="11">
        <f t="shared" si="0"/>
        <v>6.25</v>
      </c>
      <c r="E35" s="33">
        <v>4.4169999999999998</v>
      </c>
      <c r="F35" s="31">
        <v>39.5</v>
      </c>
      <c r="G35" s="21">
        <f t="shared" si="1"/>
        <v>0.88339999999999996</v>
      </c>
      <c r="H35" s="10"/>
      <c r="I35" s="14">
        <f t="shared" si="2"/>
        <v>39.5</v>
      </c>
      <c r="J35" s="15">
        <f t="shared" si="3"/>
        <v>0.88339999999999996</v>
      </c>
    </row>
    <row r="36" spans="3:10" x14ac:dyDescent="0.2">
      <c r="C36" s="36">
        <v>1.5</v>
      </c>
      <c r="D36" s="11">
        <f t="shared" si="0"/>
        <v>7.5</v>
      </c>
      <c r="E36" s="33">
        <v>5.84</v>
      </c>
      <c r="F36" s="31">
        <v>47.31</v>
      </c>
      <c r="G36" s="21">
        <f t="shared" si="1"/>
        <v>1.1679999999999999</v>
      </c>
      <c r="H36" s="10"/>
      <c r="I36" s="14">
        <f t="shared" si="2"/>
        <v>47.31</v>
      </c>
      <c r="J36" s="15">
        <f t="shared" si="3"/>
        <v>1.1679999999999999</v>
      </c>
    </row>
    <row r="37" spans="3:10" x14ac:dyDescent="0.2">
      <c r="C37" s="37">
        <v>1.75</v>
      </c>
      <c r="D37" s="26">
        <f t="shared" si="0"/>
        <v>8.75</v>
      </c>
      <c r="E37" s="34">
        <v>7.2859999999999996</v>
      </c>
      <c r="F37" s="32">
        <v>55.16</v>
      </c>
      <c r="G37" s="27">
        <f t="shared" si="1"/>
        <v>1.4571999999999998</v>
      </c>
      <c r="H37" s="10"/>
      <c r="I37" s="14">
        <f t="shared" si="2"/>
        <v>55.16</v>
      </c>
      <c r="J37" s="15">
        <f t="shared" si="3"/>
        <v>1.4571999999999998</v>
      </c>
    </row>
    <row r="38" spans="3:10" ht="17" thickBot="1" x14ac:dyDescent="0.25">
      <c r="C38" s="38">
        <v>2</v>
      </c>
      <c r="D38" s="19">
        <f t="shared" si="0"/>
        <v>10</v>
      </c>
      <c r="E38" s="35">
        <v>7.9169999999999998</v>
      </c>
      <c r="F38" s="29">
        <v>58.78</v>
      </c>
      <c r="G38" s="22">
        <f t="shared" si="1"/>
        <v>1.5833999999999999</v>
      </c>
      <c r="H38" s="10"/>
      <c r="I38" s="9">
        <f t="shared" si="2"/>
        <v>58.78</v>
      </c>
      <c r="J38" s="28">
        <f t="shared" si="3"/>
        <v>1.5833999999999999</v>
      </c>
    </row>
  </sheetData>
  <mergeCells count="11">
    <mergeCell ref="Y17:AB17"/>
    <mergeCell ref="A1:E1"/>
    <mergeCell ref="A2:E2"/>
    <mergeCell ref="C26:D26"/>
    <mergeCell ref="I26:J26"/>
    <mergeCell ref="E25:F25"/>
    <mergeCell ref="G1:O2"/>
    <mergeCell ref="C7:D7"/>
    <mergeCell ref="C5:D5"/>
    <mergeCell ref="C6:D6"/>
    <mergeCell ref="C8:D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713B9-B077-D14A-943E-15F1327A222D}">
  <dimension ref="A1:O57"/>
  <sheetViews>
    <sheetView zoomScale="110" zoomScaleNormal="110" workbookViewId="0">
      <selection sqref="A1:E1"/>
    </sheetView>
  </sheetViews>
  <sheetFormatPr baseColWidth="10" defaultRowHeight="16" x14ac:dyDescent="0.2"/>
  <cols>
    <col min="2" max="2" width="15.5" customWidth="1"/>
    <col min="3" max="3" width="19.83203125" customWidth="1"/>
    <col min="5" max="5" width="20.5" customWidth="1"/>
    <col min="6" max="6" width="11.5" customWidth="1"/>
    <col min="7" max="7" width="15.5" customWidth="1"/>
    <col min="8" max="8" width="18.5" customWidth="1"/>
    <col min="9" max="10" width="15" customWidth="1"/>
    <col min="11" max="11" width="22.33203125" customWidth="1"/>
  </cols>
  <sheetData>
    <row r="1" spans="1:15" ht="19" customHeight="1" x14ac:dyDescent="0.25">
      <c r="A1" s="69" t="s">
        <v>37</v>
      </c>
      <c r="B1" s="70"/>
      <c r="C1" s="70"/>
      <c r="D1" s="70"/>
      <c r="E1" s="71"/>
      <c r="G1" s="78" t="s">
        <v>38</v>
      </c>
      <c r="H1" s="89"/>
      <c r="I1" s="89"/>
      <c r="J1" s="89"/>
      <c r="K1" s="89"/>
      <c r="L1" s="89"/>
      <c r="M1" s="89"/>
      <c r="N1" s="89"/>
      <c r="O1" s="92"/>
    </row>
    <row r="2" spans="1:15" ht="20" customHeight="1" thickBot="1" x14ac:dyDescent="0.3">
      <c r="A2" s="72" t="s">
        <v>29</v>
      </c>
      <c r="B2" s="73"/>
      <c r="C2" s="73"/>
      <c r="D2" s="73"/>
      <c r="E2" s="74"/>
      <c r="G2" s="90"/>
      <c r="H2" s="91"/>
      <c r="I2" s="91"/>
      <c r="J2" s="91"/>
      <c r="K2" s="91"/>
      <c r="L2" s="91"/>
      <c r="M2" s="91"/>
      <c r="N2" s="91"/>
      <c r="O2" s="93"/>
    </row>
    <row r="3" spans="1:15" ht="19" x14ac:dyDescent="0.25">
      <c r="A3" s="53"/>
      <c r="B3" s="53"/>
      <c r="C3" s="53"/>
      <c r="D3" s="53"/>
      <c r="E3" s="53"/>
    </row>
    <row r="4" spans="1:15" ht="19" x14ac:dyDescent="0.25">
      <c r="A4" s="53"/>
      <c r="B4" s="53"/>
      <c r="C4" s="53"/>
      <c r="D4" s="53"/>
      <c r="E4" s="53"/>
    </row>
    <row r="5" spans="1:15" ht="19" x14ac:dyDescent="0.25">
      <c r="A5" s="53"/>
      <c r="B5" s="53"/>
      <c r="C5" s="53"/>
      <c r="D5" s="53"/>
      <c r="E5" s="53"/>
    </row>
    <row r="7" spans="1:15" ht="20" thickBot="1" x14ac:dyDescent="0.3">
      <c r="B7" s="46" t="s">
        <v>17</v>
      </c>
      <c r="C7" s="47" t="s">
        <v>18</v>
      </c>
      <c r="D7" s="47" t="s">
        <v>14</v>
      </c>
      <c r="E7" s="47" t="s">
        <v>15</v>
      </c>
      <c r="F7" s="47" t="s">
        <v>16</v>
      </c>
      <c r="G7" s="48" t="s">
        <v>31</v>
      </c>
      <c r="H7" s="48" t="s">
        <v>32</v>
      </c>
      <c r="I7" s="48" t="s">
        <v>33</v>
      </c>
      <c r="J7" s="48" t="s">
        <v>22</v>
      </c>
      <c r="K7" s="48" t="s">
        <v>21</v>
      </c>
      <c r="M7" s="84" t="s">
        <v>26</v>
      </c>
      <c r="N7" s="85"/>
      <c r="O7" s="86"/>
    </row>
    <row r="8" spans="1:15" x14ac:dyDescent="0.2">
      <c r="B8" s="43">
        <v>1</v>
      </c>
      <c r="C8" s="41" t="s">
        <v>40</v>
      </c>
      <c r="D8" s="41" t="s">
        <v>23</v>
      </c>
      <c r="E8" s="41" t="s">
        <v>24</v>
      </c>
      <c r="F8" s="41" t="s">
        <v>25</v>
      </c>
      <c r="G8" s="42">
        <v>7.71</v>
      </c>
      <c r="H8" s="94">
        <v>456.45</v>
      </c>
      <c r="I8" s="42">
        <v>-2.16</v>
      </c>
      <c r="J8" s="42">
        <v>0.99988600000000005</v>
      </c>
      <c r="K8" s="45">
        <v>45623</v>
      </c>
      <c r="M8" s="87" t="s">
        <v>31</v>
      </c>
      <c r="N8" s="87" t="s">
        <v>32</v>
      </c>
      <c r="O8" s="87" t="s">
        <v>33</v>
      </c>
    </row>
    <row r="9" spans="1:15" x14ac:dyDescent="0.2">
      <c r="B9" s="44">
        <v>2</v>
      </c>
      <c r="C9" s="41"/>
      <c r="D9" s="41"/>
      <c r="E9" s="41"/>
      <c r="F9" s="41"/>
      <c r="G9" s="42"/>
      <c r="H9" s="42"/>
      <c r="I9" s="42"/>
      <c r="J9" s="42"/>
      <c r="K9" s="45"/>
      <c r="M9" s="88">
        <f>AVERAGE(G8:G999)</f>
        <v>7.71</v>
      </c>
      <c r="N9" s="88">
        <f>AVERAGE(H8:H999)</f>
        <v>456.45</v>
      </c>
      <c r="O9" s="88">
        <f>AVERAGE(I8:I999)</f>
        <v>-2.16</v>
      </c>
    </row>
    <row r="10" spans="1:15" x14ac:dyDescent="0.2">
      <c r="B10" s="44">
        <v>3</v>
      </c>
      <c r="C10" s="41"/>
      <c r="D10" s="41"/>
      <c r="E10" s="41"/>
      <c r="F10" s="41"/>
      <c r="G10" s="42"/>
      <c r="H10" s="42"/>
      <c r="I10" s="42"/>
      <c r="J10" s="42"/>
      <c r="K10" s="45"/>
    </row>
    <row r="11" spans="1:15" x14ac:dyDescent="0.2">
      <c r="B11" s="44">
        <v>4</v>
      </c>
      <c r="C11" s="41"/>
      <c r="D11" s="41"/>
      <c r="E11" s="41"/>
      <c r="F11" s="41"/>
      <c r="G11" s="42"/>
      <c r="H11" s="42"/>
      <c r="I11" s="42"/>
      <c r="J11" s="42"/>
      <c r="K11" s="45"/>
    </row>
    <row r="12" spans="1:15" x14ac:dyDescent="0.2">
      <c r="B12" s="44">
        <v>5</v>
      </c>
      <c r="C12" s="41"/>
      <c r="D12" s="41"/>
      <c r="E12" s="41"/>
      <c r="F12" s="41"/>
      <c r="G12" s="42"/>
      <c r="H12" s="42"/>
      <c r="I12" s="42"/>
      <c r="J12" s="42"/>
      <c r="K12" s="45"/>
    </row>
    <row r="13" spans="1:15" x14ac:dyDescent="0.2">
      <c r="B13" s="44">
        <v>6</v>
      </c>
      <c r="C13" s="41"/>
      <c r="D13" s="41"/>
      <c r="E13" s="41"/>
      <c r="F13" s="41"/>
      <c r="G13" s="42"/>
      <c r="H13" s="42"/>
      <c r="I13" s="42"/>
      <c r="J13" s="42"/>
      <c r="K13" s="45"/>
    </row>
    <row r="14" spans="1:15" x14ac:dyDescent="0.2">
      <c r="B14" s="44">
        <v>7</v>
      </c>
      <c r="C14" s="41"/>
      <c r="D14" s="41"/>
      <c r="E14" s="41"/>
      <c r="F14" s="41"/>
      <c r="G14" s="42"/>
      <c r="H14" s="42"/>
      <c r="I14" s="42"/>
      <c r="J14" s="41"/>
      <c r="K14" s="45"/>
    </row>
    <row r="15" spans="1:15" x14ac:dyDescent="0.2">
      <c r="B15" s="44">
        <v>8</v>
      </c>
      <c r="C15" s="41"/>
      <c r="D15" s="41"/>
      <c r="E15" s="41"/>
      <c r="F15" s="41"/>
      <c r="G15" s="42"/>
      <c r="H15" s="42"/>
      <c r="I15" s="42"/>
      <c r="J15" s="41"/>
      <c r="K15" s="45"/>
    </row>
    <row r="16" spans="1:15" x14ac:dyDescent="0.2">
      <c r="B16" s="44">
        <v>9</v>
      </c>
      <c r="C16" s="41"/>
      <c r="D16" s="41"/>
      <c r="E16" s="41"/>
      <c r="F16" s="41"/>
      <c r="G16" s="42"/>
      <c r="H16" s="42"/>
      <c r="I16" s="42"/>
      <c r="J16" s="41"/>
      <c r="K16" s="45"/>
    </row>
    <row r="17" spans="2:11" x14ac:dyDescent="0.2">
      <c r="B17" s="44">
        <v>10</v>
      </c>
      <c r="C17" s="41"/>
      <c r="D17" s="41"/>
      <c r="E17" s="41"/>
      <c r="F17" s="41"/>
      <c r="G17" s="42"/>
      <c r="H17" s="42"/>
      <c r="I17" s="42"/>
      <c r="J17" s="41"/>
      <c r="K17" s="45"/>
    </row>
    <row r="18" spans="2:11" x14ac:dyDescent="0.2">
      <c r="B18" s="44">
        <v>11</v>
      </c>
      <c r="C18" s="41"/>
      <c r="D18" s="41"/>
      <c r="E18" s="41"/>
      <c r="F18" s="41"/>
      <c r="G18" s="42"/>
      <c r="H18" s="42"/>
      <c r="I18" s="42"/>
      <c r="J18" s="42"/>
      <c r="K18" s="45"/>
    </row>
    <row r="19" spans="2:11" x14ac:dyDescent="0.2">
      <c r="B19" s="44">
        <v>12</v>
      </c>
      <c r="C19" s="41"/>
      <c r="D19" s="41"/>
      <c r="E19" s="41"/>
      <c r="F19" s="41"/>
      <c r="G19" s="42"/>
      <c r="H19" s="42"/>
      <c r="I19" s="42"/>
      <c r="J19" s="42"/>
      <c r="K19" s="45"/>
    </row>
    <row r="20" spans="2:11" x14ac:dyDescent="0.2">
      <c r="B20" s="44">
        <v>13</v>
      </c>
      <c r="C20" s="41"/>
      <c r="D20" s="41"/>
      <c r="E20" s="41"/>
      <c r="F20" s="41"/>
      <c r="G20" s="42"/>
      <c r="H20" s="42"/>
      <c r="I20" s="42"/>
      <c r="J20" s="42"/>
      <c r="K20" s="45"/>
    </row>
    <row r="21" spans="2:11" x14ac:dyDescent="0.2">
      <c r="B21" s="44">
        <v>14</v>
      </c>
      <c r="C21" s="41"/>
      <c r="D21" s="41"/>
      <c r="E21" s="41"/>
      <c r="F21" s="41"/>
      <c r="G21" s="42"/>
      <c r="H21" s="42"/>
      <c r="I21" s="42"/>
      <c r="J21" s="42"/>
      <c r="K21" s="45"/>
    </row>
    <row r="22" spans="2:11" x14ac:dyDescent="0.2">
      <c r="B22" s="44">
        <v>15</v>
      </c>
      <c r="C22" s="41"/>
      <c r="D22" s="41"/>
      <c r="E22" s="41"/>
      <c r="F22" s="41"/>
      <c r="G22" s="42"/>
      <c r="H22" s="42"/>
      <c r="I22" s="42"/>
      <c r="J22" s="42"/>
      <c r="K22" s="45"/>
    </row>
    <row r="23" spans="2:11" x14ac:dyDescent="0.2">
      <c r="B23" s="44">
        <v>16</v>
      </c>
      <c r="C23" s="41"/>
      <c r="D23" s="41"/>
      <c r="E23" s="41"/>
      <c r="F23" s="41"/>
      <c r="G23" s="42"/>
      <c r="H23" s="42"/>
      <c r="I23" s="42"/>
      <c r="J23" s="42"/>
      <c r="K23" s="45"/>
    </row>
    <row r="24" spans="2:11" x14ac:dyDescent="0.2">
      <c r="B24" s="44">
        <v>17</v>
      </c>
      <c r="C24" s="41"/>
      <c r="D24" s="41"/>
      <c r="E24" s="41"/>
      <c r="F24" s="41"/>
      <c r="G24" s="42"/>
      <c r="H24" s="42"/>
      <c r="I24" s="42"/>
      <c r="J24" s="42"/>
      <c r="K24" s="45"/>
    </row>
    <row r="25" spans="2:11" x14ac:dyDescent="0.2">
      <c r="B25" s="44">
        <v>18</v>
      </c>
      <c r="C25" s="41"/>
      <c r="D25" s="41"/>
      <c r="E25" s="41"/>
      <c r="F25" s="41"/>
      <c r="G25" s="42"/>
      <c r="H25" s="42"/>
      <c r="I25" s="42"/>
      <c r="J25" s="42"/>
      <c r="K25" s="45"/>
    </row>
    <row r="26" spans="2:11" x14ac:dyDescent="0.2">
      <c r="B26" s="44">
        <v>19</v>
      </c>
      <c r="C26" s="41"/>
      <c r="D26" s="41"/>
      <c r="E26" s="41"/>
      <c r="F26" s="41"/>
      <c r="G26" s="42"/>
      <c r="H26" s="42"/>
      <c r="I26" s="42"/>
      <c r="J26" s="42"/>
      <c r="K26" s="45"/>
    </row>
    <row r="27" spans="2:11" x14ac:dyDescent="0.2">
      <c r="B27" s="44">
        <v>20</v>
      </c>
      <c r="C27" s="41"/>
      <c r="D27" s="41"/>
      <c r="E27" s="41"/>
      <c r="F27" s="41"/>
      <c r="G27" s="42"/>
      <c r="H27" s="42"/>
      <c r="I27" s="42"/>
      <c r="J27" s="42"/>
      <c r="K27" s="45"/>
    </row>
    <row r="28" spans="2:11" x14ac:dyDescent="0.2">
      <c r="B28" s="44">
        <v>21</v>
      </c>
      <c r="C28" s="41"/>
      <c r="D28" s="41"/>
      <c r="E28" s="41"/>
      <c r="F28" s="41"/>
      <c r="G28" s="42"/>
      <c r="H28" s="42"/>
      <c r="I28" s="42"/>
      <c r="J28" s="42"/>
      <c r="K28" s="45"/>
    </row>
    <row r="29" spans="2:11" x14ac:dyDescent="0.2">
      <c r="B29" s="44">
        <v>22</v>
      </c>
      <c r="C29" s="41"/>
      <c r="D29" s="41"/>
      <c r="E29" s="41"/>
      <c r="F29" s="41"/>
      <c r="G29" s="42"/>
      <c r="H29" s="42"/>
      <c r="I29" s="42"/>
      <c r="J29" s="42"/>
      <c r="K29" s="45"/>
    </row>
    <row r="30" spans="2:11" x14ac:dyDescent="0.2">
      <c r="B30" s="44">
        <v>23</v>
      </c>
      <c r="C30" s="41"/>
      <c r="D30" s="41"/>
      <c r="E30" s="41"/>
      <c r="F30" s="41"/>
      <c r="G30" s="42"/>
      <c r="H30" s="42"/>
      <c r="I30" s="42"/>
      <c r="J30" s="42"/>
      <c r="K30" s="45"/>
    </row>
    <row r="31" spans="2:11" x14ac:dyDescent="0.2">
      <c r="B31" s="44">
        <v>24</v>
      </c>
      <c r="C31" s="41"/>
      <c r="D31" s="41"/>
      <c r="E31" s="41"/>
      <c r="F31" s="41"/>
      <c r="G31" s="42"/>
      <c r="H31" s="42"/>
      <c r="I31" s="42"/>
      <c r="J31" s="42"/>
      <c r="K31" s="45"/>
    </row>
    <row r="32" spans="2:11" x14ac:dyDescent="0.2">
      <c r="B32" s="44">
        <v>25</v>
      </c>
      <c r="C32" s="41"/>
      <c r="D32" s="41"/>
      <c r="E32" s="41"/>
      <c r="F32" s="41"/>
      <c r="G32" s="42"/>
      <c r="H32" s="42"/>
      <c r="I32" s="42"/>
      <c r="J32" s="42"/>
      <c r="K32" s="45"/>
    </row>
    <row r="33" spans="2:11" x14ac:dyDescent="0.2">
      <c r="B33" s="44">
        <v>26</v>
      </c>
      <c r="C33" s="41"/>
      <c r="D33" s="41"/>
      <c r="E33" s="41"/>
      <c r="F33" s="41"/>
      <c r="G33" s="42"/>
      <c r="H33" s="42"/>
      <c r="I33" s="42"/>
      <c r="J33" s="42"/>
      <c r="K33" s="45"/>
    </row>
    <row r="34" spans="2:11" x14ac:dyDescent="0.2">
      <c r="B34" s="44">
        <v>27</v>
      </c>
      <c r="C34" s="41"/>
      <c r="D34" s="41"/>
      <c r="E34" s="41"/>
      <c r="F34" s="41"/>
      <c r="G34" s="42"/>
      <c r="H34" s="42"/>
      <c r="I34" s="42"/>
      <c r="J34" s="42"/>
      <c r="K34" s="45"/>
    </row>
    <row r="35" spans="2:11" x14ac:dyDescent="0.2">
      <c r="B35" s="44">
        <v>28</v>
      </c>
      <c r="C35" s="41"/>
      <c r="D35" s="41"/>
      <c r="E35" s="41"/>
      <c r="F35" s="41"/>
      <c r="G35" s="42"/>
      <c r="H35" s="42"/>
      <c r="I35" s="42"/>
      <c r="J35" s="42"/>
      <c r="K35" s="45"/>
    </row>
    <row r="36" spans="2:11" x14ac:dyDescent="0.2">
      <c r="B36" s="44">
        <v>29</v>
      </c>
      <c r="C36" s="41"/>
      <c r="D36" s="41"/>
      <c r="E36" s="41"/>
      <c r="F36" s="41"/>
      <c r="G36" s="42"/>
      <c r="H36" s="42"/>
      <c r="I36" s="42"/>
      <c r="J36" s="42"/>
      <c r="K36" s="45"/>
    </row>
    <row r="37" spans="2:11" x14ac:dyDescent="0.2">
      <c r="B37" s="44">
        <v>30</v>
      </c>
      <c r="C37" s="41"/>
      <c r="D37" s="41"/>
      <c r="E37" s="41"/>
      <c r="F37" s="41"/>
      <c r="G37" s="42"/>
      <c r="H37" s="42"/>
      <c r="I37" s="42"/>
      <c r="J37" s="42"/>
      <c r="K37" s="45"/>
    </row>
    <row r="38" spans="2:11" x14ac:dyDescent="0.2">
      <c r="B38" s="44">
        <v>31</v>
      </c>
      <c r="C38" s="41"/>
      <c r="D38" s="41"/>
      <c r="E38" s="41"/>
      <c r="F38" s="41"/>
      <c r="G38" s="42"/>
      <c r="H38" s="42"/>
      <c r="I38" s="42"/>
      <c r="J38" s="42"/>
      <c r="K38" s="45"/>
    </row>
    <row r="39" spans="2:11" x14ac:dyDescent="0.2">
      <c r="B39" s="44">
        <v>32</v>
      </c>
      <c r="C39" s="41"/>
      <c r="D39" s="41"/>
      <c r="E39" s="41"/>
      <c r="F39" s="41"/>
      <c r="G39" s="42"/>
      <c r="H39" s="42"/>
      <c r="I39" s="42"/>
      <c r="J39" s="42"/>
      <c r="K39" s="45"/>
    </row>
    <row r="40" spans="2:11" x14ac:dyDescent="0.2">
      <c r="B40" s="44">
        <v>33</v>
      </c>
      <c r="C40" s="41"/>
      <c r="D40" s="41"/>
      <c r="E40" s="41"/>
      <c r="F40" s="41"/>
      <c r="G40" s="42"/>
      <c r="H40" s="42"/>
      <c r="I40" s="42"/>
      <c r="J40" s="42"/>
      <c r="K40" s="45"/>
    </row>
    <row r="41" spans="2:11" x14ac:dyDescent="0.2">
      <c r="B41" s="44">
        <v>34</v>
      </c>
      <c r="C41" s="41"/>
      <c r="D41" s="41"/>
      <c r="E41" s="41"/>
      <c r="F41" s="41"/>
      <c r="G41" s="42"/>
      <c r="H41" s="42"/>
      <c r="I41" s="42"/>
      <c r="J41" s="42"/>
      <c r="K41" s="45"/>
    </row>
    <row r="42" spans="2:11" x14ac:dyDescent="0.2">
      <c r="B42" s="44">
        <v>35</v>
      </c>
      <c r="C42" s="41"/>
      <c r="D42" s="41"/>
      <c r="E42" s="41"/>
      <c r="F42" s="41"/>
      <c r="G42" s="42"/>
      <c r="H42" s="42"/>
      <c r="I42" s="42"/>
      <c r="J42" s="42"/>
      <c r="K42" s="45"/>
    </row>
    <row r="43" spans="2:11" x14ac:dyDescent="0.2">
      <c r="B43" s="44">
        <v>36</v>
      </c>
      <c r="C43" s="41"/>
      <c r="D43" s="41"/>
      <c r="E43" s="41"/>
      <c r="F43" s="41"/>
      <c r="G43" s="42"/>
      <c r="H43" s="42"/>
      <c r="I43" s="42"/>
      <c r="J43" s="42"/>
      <c r="K43" s="45"/>
    </row>
    <row r="44" spans="2:11" x14ac:dyDescent="0.2">
      <c r="B44" s="44">
        <v>37</v>
      </c>
      <c r="C44" s="41"/>
      <c r="D44" s="41"/>
      <c r="E44" s="41"/>
      <c r="F44" s="41"/>
      <c r="G44" s="42"/>
      <c r="H44" s="42"/>
      <c r="I44" s="42"/>
      <c r="J44" s="42"/>
      <c r="K44" s="45"/>
    </row>
    <row r="45" spans="2:11" x14ac:dyDescent="0.2">
      <c r="B45" s="44">
        <v>38</v>
      </c>
      <c r="C45" s="41"/>
      <c r="D45" s="41"/>
      <c r="E45" s="41"/>
      <c r="F45" s="41"/>
      <c r="G45" s="42"/>
      <c r="H45" s="42"/>
      <c r="I45" s="42"/>
      <c r="J45" s="42"/>
      <c r="K45" s="45"/>
    </row>
    <row r="46" spans="2:11" x14ac:dyDescent="0.2">
      <c r="B46" s="44">
        <v>39</v>
      </c>
      <c r="C46" s="41"/>
      <c r="D46" s="41"/>
      <c r="E46" s="41"/>
      <c r="F46" s="41"/>
      <c r="G46" s="42"/>
      <c r="H46" s="42"/>
      <c r="I46" s="42"/>
      <c r="J46" s="42"/>
      <c r="K46" s="45"/>
    </row>
    <row r="47" spans="2:11" x14ac:dyDescent="0.2">
      <c r="B47" s="44">
        <v>40</v>
      </c>
      <c r="C47" s="41"/>
      <c r="D47" s="41"/>
      <c r="E47" s="41"/>
      <c r="F47" s="41"/>
      <c r="G47" s="42"/>
      <c r="H47" s="42"/>
      <c r="I47" s="42"/>
      <c r="J47" s="42"/>
      <c r="K47" s="45"/>
    </row>
    <row r="48" spans="2:11" x14ac:dyDescent="0.2">
      <c r="B48" s="44">
        <v>41</v>
      </c>
      <c r="C48" s="41"/>
      <c r="D48" s="41"/>
      <c r="E48" s="41"/>
      <c r="F48" s="41"/>
      <c r="G48" s="42"/>
      <c r="H48" s="42"/>
      <c r="I48" s="42"/>
      <c r="J48" s="42"/>
      <c r="K48" s="45"/>
    </row>
    <row r="49" spans="2:11" x14ac:dyDescent="0.2">
      <c r="B49" s="44">
        <v>42</v>
      </c>
      <c r="C49" s="41"/>
      <c r="D49" s="41"/>
      <c r="E49" s="41"/>
      <c r="F49" s="41"/>
      <c r="G49" s="42"/>
      <c r="H49" s="42"/>
      <c r="I49" s="42"/>
      <c r="J49" s="42"/>
      <c r="K49" s="45"/>
    </row>
    <row r="50" spans="2:11" x14ac:dyDescent="0.2">
      <c r="B50" s="44">
        <v>43</v>
      </c>
      <c r="C50" s="41"/>
      <c r="D50" s="41"/>
      <c r="E50" s="41"/>
      <c r="F50" s="41"/>
      <c r="G50" s="42"/>
      <c r="H50" s="42"/>
      <c r="I50" s="42"/>
      <c r="J50" s="42"/>
      <c r="K50" s="45"/>
    </row>
    <row r="51" spans="2:11" x14ac:dyDescent="0.2">
      <c r="B51" s="44">
        <v>44</v>
      </c>
      <c r="C51" s="41"/>
      <c r="D51" s="41"/>
      <c r="E51" s="41"/>
      <c r="F51" s="41"/>
      <c r="G51" s="42"/>
      <c r="H51" s="42"/>
      <c r="I51" s="42"/>
      <c r="J51" s="42"/>
      <c r="K51" s="45"/>
    </row>
    <row r="52" spans="2:11" x14ac:dyDescent="0.2">
      <c r="B52" s="44">
        <v>45</v>
      </c>
      <c r="C52" s="41"/>
      <c r="D52" s="41"/>
      <c r="E52" s="41"/>
      <c r="F52" s="41"/>
      <c r="G52" s="42"/>
      <c r="H52" s="42"/>
      <c r="I52" s="42"/>
      <c r="J52" s="42"/>
      <c r="K52" s="45"/>
    </row>
    <row r="53" spans="2:11" x14ac:dyDescent="0.2">
      <c r="B53" s="44">
        <v>46</v>
      </c>
      <c r="C53" s="41"/>
      <c r="D53" s="41"/>
      <c r="E53" s="41"/>
      <c r="F53" s="41"/>
      <c r="G53" s="42"/>
      <c r="H53" s="42"/>
      <c r="I53" s="42"/>
      <c r="J53" s="42"/>
      <c r="K53" s="45"/>
    </row>
    <row r="54" spans="2:11" x14ac:dyDescent="0.2">
      <c r="B54" s="44">
        <v>47</v>
      </c>
      <c r="C54" s="41"/>
      <c r="D54" s="41"/>
      <c r="E54" s="41"/>
      <c r="F54" s="41"/>
      <c r="G54" s="42"/>
      <c r="H54" s="42"/>
      <c r="I54" s="42"/>
      <c r="J54" s="42"/>
      <c r="K54" s="45"/>
    </row>
    <row r="55" spans="2:11" x14ac:dyDescent="0.2">
      <c r="B55" s="44">
        <v>48</v>
      </c>
      <c r="C55" s="41"/>
      <c r="D55" s="41"/>
      <c r="E55" s="41"/>
      <c r="F55" s="41"/>
      <c r="G55" s="42"/>
      <c r="H55" s="42"/>
      <c r="I55" s="42"/>
      <c r="J55" s="42"/>
      <c r="K55" s="45"/>
    </row>
    <row r="56" spans="2:11" x14ac:dyDescent="0.2">
      <c r="B56" s="44">
        <v>49</v>
      </c>
      <c r="C56" s="41"/>
      <c r="D56" s="41"/>
      <c r="E56" s="41"/>
      <c r="F56" s="41"/>
      <c r="G56" s="42"/>
      <c r="H56" s="42"/>
      <c r="I56" s="42"/>
      <c r="J56" s="42"/>
      <c r="K56" s="45"/>
    </row>
    <row r="57" spans="2:11" x14ac:dyDescent="0.2">
      <c r="B57" s="49">
        <v>50</v>
      </c>
      <c r="C57" s="50"/>
      <c r="D57" s="50"/>
      <c r="E57" s="50"/>
      <c r="F57" s="50"/>
      <c r="G57" s="51"/>
      <c r="H57" s="51"/>
      <c r="I57" s="51"/>
      <c r="J57" s="51"/>
      <c r="K57" s="52"/>
    </row>
  </sheetData>
  <mergeCells count="4">
    <mergeCell ref="A1:E1"/>
    <mergeCell ref="A2:E2"/>
    <mergeCell ref="M7:O7"/>
    <mergeCell ref="G1:O2"/>
  </mergeCells>
  <pageMargins left="0.7" right="0.7" top="0.75" bottom="0.75" header="0.3" footer="0.3"/>
  <pageSetup orientation="portrait" horizontalDpi="0" verticalDpi="0"/>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3849F-4728-2C46-8A90-064951BD2F5A}">
  <dimension ref="A1:AL33"/>
  <sheetViews>
    <sheetView workbookViewId="0">
      <selection activeCell="C38" sqref="C38"/>
    </sheetView>
  </sheetViews>
  <sheetFormatPr baseColWidth="10" defaultRowHeight="16" x14ac:dyDescent="0.2"/>
  <sheetData>
    <row r="1" spans="1:38" ht="19" x14ac:dyDescent="0.25">
      <c r="A1" s="69" t="s">
        <v>37</v>
      </c>
      <c r="B1" s="70"/>
      <c r="C1" s="70"/>
      <c r="D1" s="70"/>
      <c r="E1" s="71"/>
      <c r="G1" s="78" t="s">
        <v>36</v>
      </c>
      <c r="H1" s="79"/>
      <c r="I1" s="79"/>
      <c r="J1" s="79"/>
      <c r="K1" s="79"/>
      <c r="L1" s="79"/>
      <c r="M1" s="79"/>
      <c r="N1" s="79"/>
      <c r="O1" s="80"/>
    </row>
    <row r="2" spans="1:38" ht="20" thickBot="1" x14ac:dyDescent="0.3">
      <c r="A2" s="72" t="s">
        <v>29</v>
      </c>
      <c r="B2" s="73"/>
      <c r="C2" s="73"/>
      <c r="D2" s="73"/>
      <c r="E2" s="74"/>
      <c r="G2" s="81"/>
      <c r="H2" s="82"/>
      <c r="I2" s="82"/>
      <c r="J2" s="82"/>
      <c r="K2" s="82"/>
      <c r="L2" s="82"/>
      <c r="M2" s="82"/>
      <c r="N2" s="82"/>
      <c r="O2" s="83"/>
    </row>
    <row r="8" spans="1:38" x14ac:dyDescent="0.2">
      <c r="A8" t="s">
        <v>35</v>
      </c>
      <c r="B8">
        <v>1</v>
      </c>
      <c r="F8">
        <v>2</v>
      </c>
      <c r="J8">
        <v>3</v>
      </c>
      <c r="N8">
        <v>4</v>
      </c>
      <c r="R8">
        <v>5</v>
      </c>
      <c r="V8">
        <v>6</v>
      </c>
      <c r="Z8">
        <v>7</v>
      </c>
      <c r="AD8">
        <v>8</v>
      </c>
      <c r="AH8">
        <v>9</v>
      </c>
      <c r="AL8">
        <v>10</v>
      </c>
    </row>
    <row r="9" spans="1:38" x14ac:dyDescent="0.2">
      <c r="B9" s="33">
        <v>0.14899999999999999</v>
      </c>
      <c r="C9" s="30">
        <v>2.95</v>
      </c>
    </row>
    <row r="10" spans="1:38" x14ac:dyDescent="0.2">
      <c r="B10" s="33">
        <v>0.44269999999999998</v>
      </c>
      <c r="C10" s="30">
        <v>7.53</v>
      </c>
    </row>
    <row r="11" spans="1:38" x14ac:dyDescent="0.2">
      <c r="B11" s="33">
        <v>0.84399999999999997</v>
      </c>
      <c r="C11" s="30">
        <v>12.54</v>
      </c>
    </row>
    <row r="12" spans="1:38" x14ac:dyDescent="0.2">
      <c r="B12" s="33">
        <v>1.2969999999999999</v>
      </c>
      <c r="C12" s="30">
        <v>17.260000000000002</v>
      </c>
    </row>
    <row r="13" spans="1:38" x14ac:dyDescent="0.2">
      <c r="B13" s="33">
        <v>2.3359999999999999</v>
      </c>
      <c r="C13" s="30">
        <v>26.09</v>
      </c>
    </row>
    <row r="14" spans="1:38" x14ac:dyDescent="0.2">
      <c r="B14" s="33">
        <v>3.34</v>
      </c>
      <c r="C14" s="30">
        <v>33.11</v>
      </c>
    </row>
    <row r="15" spans="1:38" x14ac:dyDescent="0.2">
      <c r="B15" s="33">
        <v>4.4169999999999998</v>
      </c>
      <c r="C15" s="31">
        <v>39.5</v>
      </c>
    </row>
    <row r="16" spans="1:38" x14ac:dyDescent="0.2">
      <c r="B16" s="33">
        <v>5.84</v>
      </c>
      <c r="C16" s="31">
        <v>47.31</v>
      </c>
    </row>
    <row r="17" spans="1:3" x14ac:dyDescent="0.2">
      <c r="B17" s="34">
        <v>7.2859999999999996</v>
      </c>
      <c r="C17" s="32">
        <v>55.16</v>
      </c>
    </row>
    <row r="18" spans="1:3" ht="17" thickBot="1" x14ac:dyDescent="0.25">
      <c r="B18" s="35">
        <v>7.9169999999999998</v>
      </c>
      <c r="C18" s="29">
        <v>58.78</v>
      </c>
    </row>
    <row r="23" spans="1:3" x14ac:dyDescent="0.2">
      <c r="A23" t="s">
        <v>35</v>
      </c>
      <c r="B23" s="1" t="s">
        <v>30</v>
      </c>
    </row>
    <row r="24" spans="1:3" x14ac:dyDescent="0.2">
      <c r="B24" s="63">
        <v>2500</v>
      </c>
      <c r="C24" s="64">
        <v>75</v>
      </c>
    </row>
    <row r="25" spans="1:3" x14ac:dyDescent="0.2">
      <c r="B25" s="63">
        <v>5000</v>
      </c>
      <c r="C25" s="64">
        <v>118.5</v>
      </c>
    </row>
    <row r="26" spans="1:3" x14ac:dyDescent="0.2">
      <c r="B26" s="63">
        <v>7500</v>
      </c>
      <c r="C26" s="64">
        <v>150.30000000000001</v>
      </c>
    </row>
    <row r="27" spans="1:3" x14ac:dyDescent="0.2">
      <c r="B27" s="63">
        <v>10000</v>
      </c>
      <c r="C27" s="64">
        <v>177.6</v>
      </c>
    </row>
    <row r="28" spans="1:3" x14ac:dyDescent="0.2">
      <c r="B28" s="63">
        <v>12500</v>
      </c>
      <c r="C28" s="64">
        <v>202.5</v>
      </c>
    </row>
    <row r="29" spans="1:3" x14ac:dyDescent="0.2">
      <c r="B29" s="63">
        <v>15000</v>
      </c>
      <c r="C29" s="64">
        <v>225</v>
      </c>
    </row>
    <row r="30" spans="1:3" x14ac:dyDescent="0.2">
      <c r="B30" s="63">
        <v>17500</v>
      </c>
      <c r="C30" s="64">
        <v>246.3</v>
      </c>
    </row>
    <row r="31" spans="1:3" x14ac:dyDescent="0.2">
      <c r="B31" s="63">
        <v>20000</v>
      </c>
      <c r="C31" s="64">
        <v>266.10000000000002</v>
      </c>
    </row>
    <row r="32" spans="1:3" x14ac:dyDescent="0.2">
      <c r="B32" s="63">
        <v>22500</v>
      </c>
      <c r="C32" s="64">
        <v>284.10000000000002</v>
      </c>
    </row>
    <row r="33" spans="2:3" ht="17" thickBot="1" x14ac:dyDescent="0.25">
      <c r="B33" s="65">
        <v>25000</v>
      </c>
      <c r="C33" s="66">
        <v>300</v>
      </c>
    </row>
  </sheetData>
  <mergeCells count="3">
    <mergeCell ref="A1:E1"/>
    <mergeCell ref="G1:O2"/>
    <mergeCell ref="A2:E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6A9BB-ABAD-3F4C-A9FC-209EFCF84554}">
  <dimension ref="A1:O57"/>
  <sheetViews>
    <sheetView zoomScale="110" zoomScaleNormal="110" workbookViewId="0">
      <selection activeCell="L11" sqref="L11"/>
    </sheetView>
  </sheetViews>
  <sheetFormatPr baseColWidth="10" defaultRowHeight="16" x14ac:dyDescent="0.2"/>
  <cols>
    <col min="2" max="2" width="15.5" customWidth="1"/>
    <col min="3" max="3" width="19.83203125" customWidth="1"/>
    <col min="5" max="5" width="20.5" customWidth="1"/>
    <col min="6" max="6" width="11.5" customWidth="1"/>
    <col min="7" max="7" width="18.5" customWidth="1"/>
    <col min="8" max="9" width="15" customWidth="1"/>
    <col min="10" max="10" width="22.33203125" customWidth="1"/>
  </cols>
  <sheetData>
    <row r="1" spans="1:15" ht="19" x14ac:dyDescent="0.25">
      <c r="A1" s="69" t="s">
        <v>37</v>
      </c>
      <c r="B1" s="70"/>
      <c r="C1" s="70"/>
      <c r="D1" s="70"/>
      <c r="E1" s="71"/>
      <c r="G1" s="78" t="s">
        <v>39</v>
      </c>
      <c r="H1" s="89"/>
      <c r="I1" s="89"/>
      <c r="J1" s="89"/>
      <c r="K1" s="89"/>
      <c r="L1" s="89"/>
      <c r="M1" s="89"/>
      <c r="N1" s="89"/>
      <c r="O1" s="92"/>
    </row>
    <row r="2" spans="1:15" ht="20" thickBot="1" x14ac:dyDescent="0.3">
      <c r="A2" s="72" t="s">
        <v>29</v>
      </c>
      <c r="B2" s="73"/>
      <c r="C2" s="73"/>
      <c r="D2" s="73"/>
      <c r="E2" s="74"/>
      <c r="G2" s="90"/>
      <c r="H2" s="91"/>
      <c r="I2" s="91"/>
      <c r="J2" s="91"/>
      <c r="K2" s="91"/>
      <c r="L2" s="91"/>
      <c r="M2" s="91"/>
      <c r="N2" s="91"/>
      <c r="O2" s="93"/>
    </row>
    <row r="3" spans="1:15" ht="19" x14ac:dyDescent="0.25">
      <c r="A3" s="53"/>
      <c r="B3" s="53"/>
      <c r="C3" s="53"/>
      <c r="D3" s="53"/>
      <c r="E3" s="53"/>
    </row>
    <row r="4" spans="1:15" ht="19" x14ac:dyDescent="0.25">
      <c r="A4" s="53"/>
      <c r="B4" s="53"/>
      <c r="C4" s="53"/>
      <c r="D4" s="53"/>
      <c r="E4" s="53"/>
    </row>
    <row r="5" spans="1:15" ht="19" x14ac:dyDescent="0.25">
      <c r="A5" s="53"/>
      <c r="B5" s="53"/>
      <c r="C5" s="53"/>
      <c r="D5" s="53"/>
      <c r="E5" s="53"/>
      <c r="M5" s="68"/>
      <c r="N5" s="68"/>
    </row>
    <row r="7" spans="1:15" ht="20" thickBot="1" x14ac:dyDescent="0.3">
      <c r="B7" s="46" t="s">
        <v>17</v>
      </c>
      <c r="C7" s="47" t="s">
        <v>18</v>
      </c>
      <c r="D7" s="47" t="s">
        <v>14</v>
      </c>
      <c r="E7" s="47" t="s">
        <v>15</v>
      </c>
      <c r="F7" s="47" t="s">
        <v>16</v>
      </c>
      <c r="G7" s="48" t="s">
        <v>20</v>
      </c>
      <c r="H7" s="48" t="s">
        <v>19</v>
      </c>
      <c r="I7" s="48" t="s">
        <v>22</v>
      </c>
      <c r="J7" s="48" t="s">
        <v>21</v>
      </c>
    </row>
    <row r="8" spans="1:15" x14ac:dyDescent="0.2">
      <c r="B8" s="43">
        <v>1</v>
      </c>
      <c r="C8" s="41" t="s">
        <v>28</v>
      </c>
      <c r="D8" s="41">
        <v>5</v>
      </c>
      <c r="E8" s="41" t="s">
        <v>24</v>
      </c>
      <c r="F8" s="41" t="s">
        <v>27</v>
      </c>
      <c r="G8" s="42">
        <v>-2854</v>
      </c>
      <c r="H8" s="42">
        <v>240.87</v>
      </c>
      <c r="I8" s="42"/>
      <c r="J8" s="45">
        <v>45023</v>
      </c>
    </row>
    <row r="9" spans="1:15" x14ac:dyDescent="0.2">
      <c r="B9" s="44">
        <v>2</v>
      </c>
      <c r="C9" s="41"/>
      <c r="D9" s="41"/>
      <c r="E9" s="41"/>
      <c r="F9" s="41"/>
      <c r="G9" s="42"/>
      <c r="H9" s="42"/>
      <c r="I9" s="42"/>
      <c r="J9" s="45"/>
    </row>
    <row r="10" spans="1:15" x14ac:dyDescent="0.2">
      <c r="B10" s="44">
        <v>3</v>
      </c>
      <c r="C10" s="41"/>
      <c r="D10" s="41"/>
      <c r="E10" s="41"/>
      <c r="F10" s="41"/>
      <c r="G10" s="42"/>
      <c r="H10" s="42"/>
      <c r="I10" s="42"/>
      <c r="J10" s="45"/>
    </row>
    <row r="11" spans="1:15" x14ac:dyDescent="0.2">
      <c r="B11" s="44">
        <v>4</v>
      </c>
      <c r="C11" s="41"/>
      <c r="D11" s="41"/>
      <c r="E11" s="41"/>
      <c r="F11" s="41"/>
      <c r="G11" s="42"/>
      <c r="H11" s="42"/>
      <c r="I11" s="42"/>
      <c r="J11" s="45"/>
    </row>
    <row r="12" spans="1:15" x14ac:dyDescent="0.2">
      <c r="B12" s="44">
        <v>5</v>
      </c>
      <c r="C12" s="41"/>
      <c r="D12" s="41"/>
      <c r="E12" s="41"/>
      <c r="F12" s="41"/>
      <c r="G12" s="42"/>
      <c r="H12" s="42"/>
      <c r="I12" s="42"/>
      <c r="J12" s="45"/>
    </row>
    <row r="13" spans="1:15" x14ac:dyDescent="0.2">
      <c r="B13" s="44">
        <v>6</v>
      </c>
      <c r="C13" s="41"/>
      <c r="D13" s="41"/>
      <c r="E13" s="41"/>
      <c r="F13" s="41"/>
      <c r="G13" s="42"/>
      <c r="H13" s="42"/>
      <c r="I13" s="42"/>
      <c r="J13" s="45"/>
    </row>
    <row r="14" spans="1:15" x14ac:dyDescent="0.2">
      <c r="B14" s="44">
        <v>7</v>
      </c>
      <c r="C14" s="41"/>
      <c r="D14" s="41"/>
      <c r="E14" s="41"/>
      <c r="F14" s="41"/>
      <c r="G14" s="42"/>
      <c r="H14" s="42"/>
      <c r="I14" s="42"/>
      <c r="J14" s="45"/>
    </row>
    <row r="15" spans="1:15" x14ac:dyDescent="0.2">
      <c r="B15" s="44">
        <v>8</v>
      </c>
      <c r="C15" s="41"/>
      <c r="D15" s="41"/>
      <c r="E15" s="41"/>
      <c r="F15" s="41"/>
      <c r="G15" s="42"/>
      <c r="H15" s="42"/>
      <c r="I15" s="42"/>
      <c r="J15" s="45"/>
    </row>
    <row r="16" spans="1:15" x14ac:dyDescent="0.2">
      <c r="B16" s="44">
        <v>9</v>
      </c>
      <c r="C16" s="41"/>
      <c r="D16" s="41"/>
      <c r="E16" s="41"/>
      <c r="F16" s="41"/>
      <c r="G16" s="42"/>
      <c r="H16" s="42"/>
      <c r="I16" s="42"/>
      <c r="J16" s="45"/>
    </row>
    <row r="17" spans="2:10" x14ac:dyDescent="0.2">
      <c r="B17" s="44">
        <v>10</v>
      </c>
      <c r="C17" s="41"/>
      <c r="D17" s="41"/>
      <c r="E17" s="41"/>
      <c r="F17" s="41"/>
      <c r="G17" s="42"/>
      <c r="H17" s="42"/>
      <c r="I17" s="42"/>
      <c r="J17" s="45"/>
    </row>
    <row r="18" spans="2:10" x14ac:dyDescent="0.2">
      <c r="B18" s="44">
        <v>11</v>
      </c>
      <c r="C18" s="41"/>
      <c r="D18" s="41"/>
      <c r="E18" s="41"/>
      <c r="F18" s="41"/>
      <c r="G18" s="42"/>
      <c r="H18" s="42"/>
      <c r="I18" s="42"/>
      <c r="J18" s="45"/>
    </row>
    <row r="19" spans="2:10" x14ac:dyDescent="0.2">
      <c r="B19" s="44">
        <v>12</v>
      </c>
      <c r="C19" s="41"/>
      <c r="D19" s="41"/>
      <c r="E19" s="41"/>
      <c r="F19" s="41"/>
      <c r="G19" s="42"/>
      <c r="H19" s="42"/>
      <c r="I19" s="42"/>
      <c r="J19" s="45"/>
    </row>
    <row r="20" spans="2:10" x14ac:dyDescent="0.2">
      <c r="B20" s="44">
        <v>13</v>
      </c>
      <c r="C20" s="41"/>
      <c r="D20" s="41"/>
      <c r="E20" s="41"/>
      <c r="F20" s="41"/>
      <c r="G20" s="42"/>
      <c r="H20" s="42"/>
      <c r="I20" s="42"/>
      <c r="J20" s="45"/>
    </row>
    <row r="21" spans="2:10" x14ac:dyDescent="0.2">
      <c r="B21" s="44">
        <v>14</v>
      </c>
      <c r="C21" s="41"/>
      <c r="D21" s="41"/>
      <c r="E21" s="41"/>
      <c r="F21" s="41"/>
      <c r="G21" s="42"/>
      <c r="H21" s="42"/>
      <c r="I21" s="42"/>
      <c r="J21" s="45"/>
    </row>
    <row r="22" spans="2:10" x14ac:dyDescent="0.2">
      <c r="B22" s="44">
        <v>15</v>
      </c>
      <c r="C22" s="41"/>
      <c r="D22" s="41"/>
      <c r="E22" s="41"/>
      <c r="F22" s="41"/>
      <c r="G22" s="42"/>
      <c r="H22" s="42"/>
      <c r="I22" s="42"/>
      <c r="J22" s="45"/>
    </row>
    <row r="23" spans="2:10" x14ac:dyDescent="0.2">
      <c r="B23" s="44">
        <v>16</v>
      </c>
      <c r="C23" s="41"/>
      <c r="D23" s="41"/>
      <c r="E23" s="41"/>
      <c r="F23" s="41"/>
      <c r="G23" s="42"/>
      <c r="H23" s="42"/>
      <c r="I23" s="42"/>
      <c r="J23" s="45"/>
    </row>
    <row r="24" spans="2:10" x14ac:dyDescent="0.2">
      <c r="B24" s="44">
        <v>17</v>
      </c>
      <c r="C24" s="41"/>
      <c r="D24" s="41"/>
      <c r="E24" s="41"/>
      <c r="F24" s="41"/>
      <c r="G24" s="42"/>
      <c r="H24" s="42"/>
      <c r="I24" s="42"/>
      <c r="J24" s="45"/>
    </row>
    <row r="25" spans="2:10" x14ac:dyDescent="0.2">
      <c r="B25" s="44">
        <v>18</v>
      </c>
      <c r="C25" s="41"/>
      <c r="D25" s="41"/>
      <c r="E25" s="41"/>
      <c r="F25" s="41"/>
      <c r="G25" s="42"/>
      <c r="H25" s="42"/>
      <c r="I25" s="42"/>
      <c r="J25" s="45"/>
    </row>
    <row r="26" spans="2:10" x14ac:dyDescent="0.2">
      <c r="B26" s="44">
        <v>19</v>
      </c>
      <c r="C26" s="41"/>
      <c r="D26" s="41"/>
      <c r="E26" s="41"/>
      <c r="F26" s="41"/>
      <c r="G26" s="42"/>
      <c r="H26" s="42"/>
      <c r="I26" s="42"/>
      <c r="J26" s="45"/>
    </row>
    <row r="27" spans="2:10" x14ac:dyDescent="0.2">
      <c r="B27" s="44">
        <v>20</v>
      </c>
      <c r="C27" s="41"/>
      <c r="D27" s="41"/>
      <c r="E27" s="41"/>
      <c r="F27" s="41"/>
      <c r="G27" s="42"/>
      <c r="H27" s="42"/>
      <c r="I27" s="42"/>
      <c r="J27" s="45"/>
    </row>
    <row r="28" spans="2:10" x14ac:dyDescent="0.2">
      <c r="B28" s="44">
        <v>21</v>
      </c>
      <c r="C28" s="41"/>
      <c r="D28" s="41"/>
      <c r="E28" s="41"/>
      <c r="F28" s="41"/>
      <c r="G28" s="42"/>
      <c r="H28" s="42"/>
      <c r="I28" s="42"/>
      <c r="J28" s="45"/>
    </row>
    <row r="29" spans="2:10" x14ac:dyDescent="0.2">
      <c r="B29" s="44">
        <v>22</v>
      </c>
      <c r="C29" s="41"/>
      <c r="D29" s="41"/>
      <c r="E29" s="41"/>
      <c r="F29" s="41"/>
      <c r="G29" s="42"/>
      <c r="H29" s="42"/>
      <c r="I29" s="42"/>
      <c r="J29" s="45"/>
    </row>
    <row r="30" spans="2:10" x14ac:dyDescent="0.2">
      <c r="B30" s="44">
        <v>23</v>
      </c>
      <c r="C30" s="41"/>
      <c r="D30" s="41"/>
      <c r="E30" s="41"/>
      <c r="F30" s="41"/>
      <c r="G30" s="42"/>
      <c r="H30" s="42"/>
      <c r="I30" s="42"/>
      <c r="J30" s="45"/>
    </row>
    <row r="31" spans="2:10" x14ac:dyDescent="0.2">
      <c r="B31" s="44">
        <v>24</v>
      </c>
      <c r="C31" s="41"/>
      <c r="D31" s="41"/>
      <c r="E31" s="41"/>
      <c r="F31" s="41"/>
      <c r="G31" s="42"/>
      <c r="H31" s="42"/>
      <c r="I31" s="42"/>
      <c r="J31" s="45"/>
    </row>
    <row r="32" spans="2:10" x14ac:dyDescent="0.2">
      <c r="B32" s="44">
        <v>25</v>
      </c>
      <c r="C32" s="41"/>
      <c r="D32" s="41"/>
      <c r="E32" s="41"/>
      <c r="F32" s="41"/>
      <c r="G32" s="42"/>
      <c r="H32" s="42"/>
      <c r="I32" s="42"/>
      <c r="J32" s="45"/>
    </row>
    <row r="33" spans="2:10" x14ac:dyDescent="0.2">
      <c r="B33" s="44">
        <v>26</v>
      </c>
      <c r="C33" s="41"/>
      <c r="D33" s="41"/>
      <c r="E33" s="41"/>
      <c r="F33" s="41"/>
      <c r="G33" s="42"/>
      <c r="H33" s="42"/>
      <c r="I33" s="42"/>
      <c r="J33" s="45"/>
    </row>
    <row r="34" spans="2:10" x14ac:dyDescent="0.2">
      <c r="B34" s="44">
        <v>27</v>
      </c>
      <c r="C34" s="41"/>
      <c r="D34" s="41"/>
      <c r="E34" s="41"/>
      <c r="F34" s="41"/>
      <c r="G34" s="42"/>
      <c r="H34" s="42"/>
      <c r="I34" s="42"/>
      <c r="J34" s="45"/>
    </row>
    <row r="35" spans="2:10" x14ac:dyDescent="0.2">
      <c r="B35" s="44">
        <v>28</v>
      </c>
      <c r="C35" s="41"/>
      <c r="D35" s="41"/>
      <c r="E35" s="41"/>
      <c r="F35" s="41"/>
      <c r="G35" s="42"/>
      <c r="H35" s="42"/>
      <c r="I35" s="42"/>
      <c r="J35" s="45"/>
    </row>
    <row r="36" spans="2:10" x14ac:dyDescent="0.2">
      <c r="B36" s="44">
        <v>29</v>
      </c>
      <c r="C36" s="41"/>
      <c r="D36" s="41"/>
      <c r="E36" s="41"/>
      <c r="F36" s="41"/>
      <c r="G36" s="42"/>
      <c r="H36" s="42"/>
      <c r="I36" s="42"/>
      <c r="J36" s="45"/>
    </row>
    <row r="37" spans="2:10" x14ac:dyDescent="0.2">
      <c r="B37" s="44">
        <v>30</v>
      </c>
      <c r="C37" s="41"/>
      <c r="D37" s="41"/>
      <c r="E37" s="41"/>
      <c r="F37" s="41"/>
      <c r="G37" s="42"/>
      <c r="H37" s="42"/>
      <c r="I37" s="42"/>
      <c r="J37" s="45"/>
    </row>
    <row r="38" spans="2:10" x14ac:dyDescent="0.2">
      <c r="B38" s="44">
        <v>31</v>
      </c>
      <c r="C38" s="41"/>
      <c r="D38" s="41"/>
      <c r="E38" s="41"/>
      <c r="F38" s="41"/>
      <c r="G38" s="42"/>
      <c r="H38" s="42"/>
      <c r="I38" s="42"/>
      <c r="J38" s="45"/>
    </row>
    <row r="39" spans="2:10" x14ac:dyDescent="0.2">
      <c r="B39" s="44">
        <v>32</v>
      </c>
      <c r="C39" s="41"/>
      <c r="D39" s="41"/>
      <c r="E39" s="41"/>
      <c r="F39" s="41"/>
      <c r="G39" s="42"/>
      <c r="H39" s="42"/>
      <c r="I39" s="42"/>
      <c r="J39" s="45"/>
    </row>
    <row r="40" spans="2:10" x14ac:dyDescent="0.2">
      <c r="B40" s="44">
        <v>33</v>
      </c>
      <c r="C40" s="41"/>
      <c r="D40" s="41"/>
      <c r="E40" s="41"/>
      <c r="F40" s="41"/>
      <c r="G40" s="42"/>
      <c r="H40" s="42"/>
      <c r="I40" s="42"/>
      <c r="J40" s="45"/>
    </row>
    <row r="41" spans="2:10" x14ac:dyDescent="0.2">
      <c r="B41" s="44">
        <v>34</v>
      </c>
      <c r="C41" s="41"/>
      <c r="D41" s="41"/>
      <c r="E41" s="41"/>
      <c r="F41" s="41"/>
      <c r="G41" s="42"/>
      <c r="H41" s="42"/>
      <c r="I41" s="42"/>
      <c r="J41" s="45"/>
    </row>
    <row r="42" spans="2:10" x14ac:dyDescent="0.2">
      <c r="B42" s="44">
        <v>35</v>
      </c>
      <c r="C42" s="41"/>
      <c r="D42" s="41"/>
      <c r="E42" s="41"/>
      <c r="F42" s="41"/>
      <c r="G42" s="42"/>
      <c r="H42" s="42"/>
      <c r="I42" s="42"/>
      <c r="J42" s="45"/>
    </row>
    <row r="43" spans="2:10" x14ac:dyDescent="0.2">
      <c r="B43" s="44">
        <v>36</v>
      </c>
      <c r="C43" s="41"/>
      <c r="D43" s="41"/>
      <c r="E43" s="41"/>
      <c r="F43" s="41"/>
      <c r="G43" s="42"/>
      <c r="H43" s="42"/>
      <c r="I43" s="42"/>
      <c r="J43" s="45"/>
    </row>
    <row r="44" spans="2:10" x14ac:dyDescent="0.2">
      <c r="B44" s="44">
        <v>37</v>
      </c>
      <c r="C44" s="41"/>
      <c r="D44" s="41"/>
      <c r="E44" s="41"/>
      <c r="F44" s="41"/>
      <c r="G44" s="42"/>
      <c r="H44" s="42"/>
      <c r="I44" s="42"/>
      <c r="J44" s="45"/>
    </row>
    <row r="45" spans="2:10" x14ac:dyDescent="0.2">
      <c r="B45" s="44">
        <v>38</v>
      </c>
      <c r="C45" s="41"/>
      <c r="D45" s="41"/>
      <c r="E45" s="41"/>
      <c r="F45" s="41"/>
      <c r="G45" s="42"/>
      <c r="H45" s="42"/>
      <c r="I45" s="42"/>
      <c r="J45" s="45"/>
    </row>
    <row r="46" spans="2:10" x14ac:dyDescent="0.2">
      <c r="B46" s="44">
        <v>39</v>
      </c>
      <c r="C46" s="41"/>
      <c r="D46" s="41"/>
      <c r="E46" s="41"/>
      <c r="F46" s="41"/>
      <c r="G46" s="42"/>
      <c r="H46" s="42"/>
      <c r="I46" s="42"/>
      <c r="J46" s="45"/>
    </row>
    <row r="47" spans="2:10" x14ac:dyDescent="0.2">
      <c r="B47" s="44">
        <v>40</v>
      </c>
      <c r="C47" s="41"/>
      <c r="D47" s="41"/>
      <c r="E47" s="41"/>
      <c r="F47" s="41"/>
      <c r="G47" s="42"/>
      <c r="H47" s="42"/>
      <c r="I47" s="42"/>
      <c r="J47" s="45"/>
    </row>
    <row r="48" spans="2:10" x14ac:dyDescent="0.2">
      <c r="B48" s="44">
        <v>41</v>
      </c>
      <c r="C48" s="41"/>
      <c r="D48" s="41"/>
      <c r="E48" s="41"/>
      <c r="F48" s="41"/>
      <c r="G48" s="42"/>
      <c r="H48" s="42"/>
      <c r="I48" s="42"/>
      <c r="J48" s="45"/>
    </row>
    <row r="49" spans="2:10" x14ac:dyDescent="0.2">
      <c r="B49" s="44">
        <v>42</v>
      </c>
      <c r="C49" s="41"/>
      <c r="D49" s="41"/>
      <c r="E49" s="41"/>
      <c r="F49" s="41"/>
      <c r="G49" s="42"/>
      <c r="H49" s="42"/>
      <c r="I49" s="42"/>
      <c r="J49" s="45"/>
    </row>
    <row r="50" spans="2:10" x14ac:dyDescent="0.2">
      <c r="B50" s="44">
        <v>43</v>
      </c>
      <c r="C50" s="41"/>
      <c r="D50" s="41"/>
      <c r="E50" s="41"/>
      <c r="F50" s="41"/>
      <c r="G50" s="42"/>
      <c r="H50" s="42"/>
      <c r="I50" s="42"/>
      <c r="J50" s="45"/>
    </row>
    <row r="51" spans="2:10" x14ac:dyDescent="0.2">
      <c r="B51" s="44">
        <v>44</v>
      </c>
      <c r="C51" s="41"/>
      <c r="D51" s="41"/>
      <c r="E51" s="41"/>
      <c r="F51" s="41"/>
      <c r="G51" s="42"/>
      <c r="H51" s="42"/>
      <c r="I51" s="42"/>
      <c r="J51" s="45"/>
    </row>
    <row r="52" spans="2:10" x14ac:dyDescent="0.2">
      <c r="B52" s="44">
        <v>45</v>
      </c>
      <c r="C52" s="41"/>
      <c r="D52" s="41"/>
      <c r="E52" s="41"/>
      <c r="F52" s="41"/>
      <c r="G52" s="42"/>
      <c r="H52" s="42"/>
      <c r="I52" s="42"/>
      <c r="J52" s="45"/>
    </row>
    <row r="53" spans="2:10" x14ac:dyDescent="0.2">
      <c r="B53" s="44">
        <v>46</v>
      </c>
      <c r="C53" s="41"/>
      <c r="D53" s="41"/>
      <c r="E53" s="41"/>
      <c r="F53" s="41"/>
      <c r="G53" s="42"/>
      <c r="H53" s="42"/>
      <c r="I53" s="42"/>
      <c r="J53" s="45"/>
    </row>
    <row r="54" spans="2:10" x14ac:dyDescent="0.2">
      <c r="B54" s="44">
        <v>47</v>
      </c>
      <c r="C54" s="41"/>
      <c r="D54" s="41"/>
      <c r="E54" s="41"/>
      <c r="F54" s="41"/>
      <c r="G54" s="42"/>
      <c r="H54" s="42"/>
      <c r="I54" s="42"/>
      <c r="J54" s="45"/>
    </row>
    <row r="55" spans="2:10" x14ac:dyDescent="0.2">
      <c r="B55" s="44">
        <v>48</v>
      </c>
      <c r="C55" s="41"/>
      <c r="D55" s="41"/>
      <c r="E55" s="41"/>
      <c r="F55" s="41"/>
      <c r="G55" s="42"/>
      <c r="H55" s="42"/>
      <c r="I55" s="42"/>
      <c r="J55" s="45"/>
    </row>
    <row r="56" spans="2:10" x14ac:dyDescent="0.2">
      <c r="B56" s="44">
        <v>49</v>
      </c>
      <c r="C56" s="41"/>
      <c r="D56" s="41"/>
      <c r="E56" s="41"/>
      <c r="F56" s="41"/>
      <c r="G56" s="42"/>
      <c r="H56" s="42"/>
      <c r="I56" s="42"/>
      <c r="J56" s="45"/>
    </row>
    <row r="57" spans="2:10" x14ac:dyDescent="0.2">
      <c r="B57" s="49">
        <v>50</v>
      </c>
      <c r="C57" s="50"/>
      <c r="D57" s="50"/>
      <c r="E57" s="50"/>
      <c r="F57" s="50"/>
      <c r="G57" s="51"/>
      <c r="H57" s="51"/>
      <c r="I57" s="51"/>
      <c r="J57" s="52"/>
    </row>
  </sheetData>
  <mergeCells count="4">
    <mergeCell ref="A1:E1"/>
    <mergeCell ref="A2:E2"/>
    <mergeCell ref="M5:N5"/>
    <mergeCell ref="G1:O2"/>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Calculator</vt:lpstr>
      <vt:lpstr>De-Embedding Logs</vt:lpstr>
      <vt:lpstr>Sample Data Sets</vt:lpstr>
      <vt:lpstr>Crazy De-Embedding Logs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Cecere</cp:lastModifiedBy>
  <dcterms:created xsi:type="dcterms:W3CDTF">2022-11-30T17:24:51Z</dcterms:created>
  <dcterms:modified xsi:type="dcterms:W3CDTF">2024-11-27T16:24:49Z</dcterms:modified>
</cp:coreProperties>
</file>